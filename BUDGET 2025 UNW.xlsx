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odegbami\Desktop\Budget\"/>
    </mc:Choice>
  </mc:AlternateContent>
  <xr:revisionPtr revIDLastSave="0" documentId="13_ncr:1_{05EDC014-BB4A-41DB-A377-DD95233CFEB6}" xr6:coauthVersionLast="47" xr6:coauthVersionMax="47" xr10:uidLastSave="{00000000-0000-0000-0000-000000000000}"/>
  <bookViews>
    <workbookView xWindow="-110" yWindow="-110" windowWidth="19420" windowHeight="10420" xr2:uid="{2656ACFB-49B4-46A1-B95A-23807677BA88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3" i="2" l="1"/>
  <c r="H283" i="2"/>
  <c r="I283" i="2"/>
  <c r="J283" i="2"/>
  <c r="K283" i="2"/>
  <c r="L283" i="2"/>
  <c r="M283" i="2"/>
  <c r="N283" i="2"/>
  <c r="O283" i="2"/>
  <c r="P283" i="2"/>
  <c r="Q283" i="2"/>
  <c r="R283" i="2"/>
  <c r="S283" i="2"/>
  <c r="S37" i="2"/>
</calcChain>
</file>

<file path=xl/sharedStrings.xml><?xml version="1.0" encoding="utf-8"?>
<sst xmlns="http://schemas.openxmlformats.org/spreadsheetml/2006/main" count="1418" uniqueCount="343">
  <si>
    <t>S/N</t>
  </si>
  <si>
    <t>COMPANY NAME</t>
  </si>
  <si>
    <t>TOTAL ENROLLEE</t>
  </si>
  <si>
    <t>PATTERN OF PAYMENT</t>
  </si>
  <si>
    <t>RENEWAL MONTH</t>
  </si>
  <si>
    <t>TERMINATION MONTH</t>
  </si>
  <si>
    <t xml:space="preserve"> JANUARY </t>
  </si>
  <si>
    <t xml:space="preserve"> FEBRUARY </t>
  </si>
  <si>
    <t xml:space="preserve"> MARCH </t>
  </si>
  <si>
    <t xml:space="preserve"> APRIL </t>
  </si>
  <si>
    <t xml:space="preserve"> MAY </t>
  </si>
  <si>
    <t xml:space="preserve"> JUNE </t>
  </si>
  <si>
    <t xml:space="preserve"> JULY </t>
  </si>
  <si>
    <t xml:space="preserve"> AUGUST </t>
  </si>
  <si>
    <t xml:space="preserve"> SEPTEMBER </t>
  </si>
  <si>
    <t xml:space="preserve"> OCTOBER </t>
  </si>
  <si>
    <t xml:space="preserve"> NOVEMBER </t>
  </si>
  <si>
    <t xml:space="preserve"> DECEMBER </t>
  </si>
  <si>
    <t xml:space="preserve"> TOTAL </t>
  </si>
  <si>
    <t xml:space="preserve"> R/M </t>
  </si>
  <si>
    <t>UNIVERSITY OF LAGOS</t>
  </si>
  <si>
    <t>HELEN</t>
  </si>
  <si>
    <t>SEVEN-UP BOTTLING COMPANY LTD</t>
  </si>
  <si>
    <t>QUARTERLY</t>
  </si>
  <si>
    <t>JULY</t>
  </si>
  <si>
    <t>JUNE</t>
  </si>
  <si>
    <t>OMOLOLA</t>
  </si>
  <si>
    <t>INTERCONTINENTAL DISTILLERS LIMITED</t>
  </si>
  <si>
    <t>OCTOBER</t>
  </si>
  <si>
    <t>SEPTEMBER</t>
  </si>
  <si>
    <t>ADEBOLA</t>
  </si>
  <si>
    <t>ARIK AIR LIMITED</t>
  </si>
  <si>
    <t>MONTHLY</t>
  </si>
  <si>
    <t>MAY</t>
  </si>
  <si>
    <t>APRIL</t>
  </si>
  <si>
    <t>U-Connect Human Resources Limited</t>
  </si>
  <si>
    <t xml:space="preserve">MONTHLY </t>
  </si>
  <si>
    <t>MARCH</t>
  </si>
  <si>
    <t>FEBRUARY</t>
  </si>
  <si>
    <t>EMMANUELA</t>
  </si>
  <si>
    <t>AIR PEACE NIGERIA</t>
  </si>
  <si>
    <t>BI-ANNUALLY</t>
  </si>
  <si>
    <t>CDK INDUSTRIES LIMITED</t>
  </si>
  <si>
    <t>QUATERLY</t>
  </si>
  <si>
    <t>JANUARY</t>
  </si>
  <si>
    <t>DECEMBER</t>
  </si>
  <si>
    <t>LORNA NIGERIA LIMITED (GODREJ)</t>
  </si>
  <si>
    <t>ANNUALLY</t>
  </si>
  <si>
    <t>CWAY FOOD &amp; BEVERAGES NIG. COMP. LTD OTTA</t>
  </si>
  <si>
    <t>AG LEVENTIS GROUP</t>
  </si>
  <si>
    <t>JESSICA</t>
  </si>
  <si>
    <t>POLARIS BANK PLC</t>
  </si>
  <si>
    <t>VITAFOAM NIGERIA PLC</t>
  </si>
  <si>
    <t>GREENLIFE PHARMACEUTICAL LIMITED</t>
  </si>
  <si>
    <t>NOVEMBER</t>
  </si>
  <si>
    <t>SWEET NUTRITION LIMITED [MR CHEF]</t>
  </si>
  <si>
    <t>CAPITALFIELD INVESTMENT GROUP</t>
  </si>
  <si>
    <t>FMCG DISTRIBUTION LIMITED</t>
  </si>
  <si>
    <t>BIANNUALLY</t>
  </si>
  <si>
    <t>GRACE SCHOOLS</t>
  </si>
  <si>
    <t>LOGIC CITY FLEET MANAGEMENT SERVICES LIMITED</t>
  </si>
  <si>
    <t>CHIOMA</t>
  </si>
  <si>
    <t>VAGAN OIL AND GAS LIMITED BATCH B</t>
  </si>
  <si>
    <t>CHINYERE</t>
  </si>
  <si>
    <t>ADGAN ROBBY INTER-BEEZ LTD.</t>
  </si>
  <si>
    <t>AUGUST</t>
  </si>
  <si>
    <t>Sinoma Cargo International Nigeria Limited</t>
  </si>
  <si>
    <t>CWAY NIG.DRINKING WATER SCI.&amp; TECH CO.LAGOS</t>
  </si>
  <si>
    <t>PRAGMATIC LIMITED</t>
  </si>
  <si>
    <t>INFINITY MICROFINANCE BANK LIMITED</t>
  </si>
  <si>
    <t>ELBE PHARMA NIG.LTD</t>
  </si>
  <si>
    <t>TRIANNUALLY</t>
  </si>
  <si>
    <t>GUINEA INSURANCE PLC</t>
  </si>
  <si>
    <t>CHOMA</t>
  </si>
  <si>
    <t>DHL AVIATION (NIGERIA) LIMITED</t>
  </si>
  <si>
    <t>ALERT MICROFINANCE BANK</t>
  </si>
  <si>
    <t>ASABA AIRPORT COMPANY LTD</t>
  </si>
  <si>
    <t>CRESEADA INTERNATIONAL LIMITED</t>
  </si>
  <si>
    <t>SUPREME EDUCATION FOUNDATION SCHOOLS</t>
  </si>
  <si>
    <t>FINATRUST MFB LTD</t>
  </si>
  <si>
    <t>BAOBAB NIGERIA</t>
  </si>
  <si>
    <t>CONSUMER LINK LIMITED</t>
  </si>
  <si>
    <t xml:space="preserve">AUGUST </t>
  </si>
  <si>
    <t>FAMILY SCHEME</t>
  </si>
  <si>
    <t>OPEYEMI</t>
  </si>
  <si>
    <t>VAGAN OIL AND GAS LIMITED</t>
  </si>
  <si>
    <t>AFRAB-CHEM LIMITED</t>
  </si>
  <si>
    <t>Evans Brothers (Nigeria Publishers) Limited</t>
  </si>
  <si>
    <t>ADEBOLA/BABATUNDE</t>
  </si>
  <si>
    <t>BANCOR OUTSOURCING LIMITED</t>
  </si>
  <si>
    <t>CHRISDOLF FINOP</t>
  </si>
  <si>
    <t>PHILBAN CONSULTING LTD</t>
  </si>
  <si>
    <t>HARVARD INTERNATIONAL COMPANY LTD</t>
  </si>
  <si>
    <t>ATMOSFAIR CLIMATE AND SUSTAINABILITY LTD</t>
  </si>
  <si>
    <t>FUNMILAYO</t>
  </si>
  <si>
    <t>BEDMATE FURNITURE ENTERPRISES NIG CO LTD</t>
  </si>
  <si>
    <t>LANDOVER COMPANY LIMITED</t>
  </si>
  <si>
    <t>ORFI MANAGEMENT SERVICE</t>
  </si>
  <si>
    <t>WEMABOD ESTATE LIMITED</t>
  </si>
  <si>
    <t>QUARTELY</t>
  </si>
  <si>
    <t>CWAY FOODS AND BEVERAGES SHAGAMU</t>
  </si>
  <si>
    <t>AUTO BUCKS LENDERS LIMITED</t>
  </si>
  <si>
    <t>BABINGTON MACAULAY JNR SEMINARY</t>
  </si>
  <si>
    <t>TAQWA PRIVATE SCHOOL (STUDENT)</t>
  </si>
  <si>
    <t>ECM TERMINAL LIMITED</t>
  </si>
  <si>
    <t>RENENT LTD</t>
  </si>
  <si>
    <t>VITABLOM NIGERIA LIMITED</t>
  </si>
  <si>
    <t>TYLA Integrated Limited</t>
  </si>
  <si>
    <t>BAKERY SOLUTIONS NIGERIA LIMITED</t>
  </si>
  <si>
    <t>CARACAL TECHNICAL SERVICES LIMITED</t>
  </si>
  <si>
    <t>OUTSOURCED DRIVERS GROUP</t>
  </si>
  <si>
    <t xml:space="preserve">  -   </t>
  </si>
  <si>
    <t>OCTAVUS PETROLEUM LIMITED</t>
  </si>
  <si>
    <t>SEAGREEN PHARMACEUTICAL LTD.</t>
  </si>
  <si>
    <t>VITAPUR NIGERIA LIMITED</t>
  </si>
  <si>
    <t>CLINIX HEALTHCARE</t>
  </si>
  <si>
    <t>COMPANIE INDUSTRIELLE ET COMMERCIALE</t>
  </si>
  <si>
    <t>GOLFVIEW SUITES &amp; CONFERENCE CENTRE</t>
  </si>
  <si>
    <t>MEDIA TRUST PLC</t>
  </si>
  <si>
    <t>ASTRAPOLARIS MFB LTD</t>
  </si>
  <si>
    <t>AMECRON REAL ESTATE BRONZE</t>
  </si>
  <si>
    <t>VONO FURNITURE PRODUCTS LIMITED</t>
  </si>
  <si>
    <t>NAUTILUS NIGERIA E &amp; C LIMITED</t>
  </si>
  <si>
    <t>ADRON HOMES AND PROPERTIES LIMITED</t>
  </si>
  <si>
    <t>AMECRON SNG DRIVERS</t>
  </si>
  <si>
    <t>CITYGATE GLOBAL SERVICES LIMITED</t>
  </si>
  <si>
    <t>DIAMOND SECURITY HOLDING NIG. LTD</t>
  </si>
  <si>
    <t>ROBERT JOHNSON NIGERIA LTD</t>
  </si>
  <si>
    <t>IBUSHE LIMITED</t>
  </si>
  <si>
    <t>JIMMY ITUA LTD</t>
  </si>
  <si>
    <t>STELLAR BEVERAGES LIMITED</t>
  </si>
  <si>
    <t>AirFrance KLM</t>
  </si>
  <si>
    <t>SOUTHGATE TECHNOLOGIES LIMITED</t>
  </si>
  <si>
    <t>HRLEVERAGE AFRICA CONSULTING LIMITED</t>
  </si>
  <si>
    <t>ROYAL EXCHANGE PRUDENTIAL LIFE PLC</t>
  </si>
  <si>
    <t>LOTUS CAPITAL LIMITED</t>
  </si>
  <si>
    <t>CWAY FOOD AND BEVERAGES (ONITSHA PLANT)</t>
  </si>
  <si>
    <t>OBIKINGS INDUSTRIES LTD</t>
  </si>
  <si>
    <t>VFS GLOBAL</t>
  </si>
  <si>
    <t>IFAKO INTERNATIONAL SCHOOL</t>
  </si>
  <si>
    <t>KRYSTAL DIGITAL SOLUTIONS LTD</t>
  </si>
  <si>
    <t>EKKLISIYAR YAN UWA NIG. (EYN PROJECT</t>
  </si>
  <si>
    <t>AMNI INTERNATIONAL PETROLEUM DEV. CO.</t>
  </si>
  <si>
    <t>AMECRON INFO. TECH.</t>
  </si>
  <si>
    <t>GREENLIFE BLISS HEALTHCARE LTD.</t>
  </si>
  <si>
    <t>ANNALLY</t>
  </si>
  <si>
    <t>FARINDE OLATEJU AND COMPANY</t>
  </si>
  <si>
    <t>WEST AFRICA TOBBACCO COMPANY</t>
  </si>
  <si>
    <t>INCEL GROUP OF COMAPANIES LTD</t>
  </si>
  <si>
    <t>Kerex Nigeria Limited</t>
  </si>
  <si>
    <t>ULTIMATE POLY VENTURE</t>
  </si>
  <si>
    <t>DARVINKS NIG. LTD</t>
  </si>
  <si>
    <t>CLINIX HEALTHCARE LTD, FESTAC</t>
  </si>
  <si>
    <t>LAGOS ANGLICAN GIRLS GRAMMAR SCH.</t>
  </si>
  <si>
    <t>NOOR TAKAFUL INSURANCE</t>
  </si>
  <si>
    <t>DIRECT BRIDGE NIGERIA LIMITED</t>
  </si>
  <si>
    <t>GODDIE CHEMICALS INT. LTD.</t>
  </si>
  <si>
    <t>C.M.S GRAMMAR SCHOOL</t>
  </si>
  <si>
    <t>AMERICAN INTERNATIONAL SCHOOL OF LAGOS</t>
  </si>
  <si>
    <t>KILO GLOBAL INTEGRATED SERVICES LTD</t>
  </si>
  <si>
    <t>CLIMAX INSPECTION SERVICES LIMITED</t>
  </si>
  <si>
    <t>APIL</t>
  </si>
  <si>
    <t>PINTAR SERVICES LIMITED</t>
  </si>
  <si>
    <t>ICMG SECURITIES LIMITED</t>
  </si>
  <si>
    <t>KIZITO MARITIME AGENCIES LTD</t>
  </si>
  <si>
    <t>SAMSON AGBATAN CONSULTING LTD.</t>
  </si>
  <si>
    <t>ANGLICAN COMP. HIGH SCH. IPAJA</t>
  </si>
  <si>
    <t>KOJO MOTORS LIMITED</t>
  </si>
  <si>
    <t>CWAY-NIG DRINKING WATER SCI. &amp; TECH CO. (ABUJA)</t>
  </si>
  <si>
    <t>DISCIPLES OF CHRIST MINISTRY</t>
  </si>
  <si>
    <t>MAYDON PHARMACEUTICAL LIMITED</t>
  </si>
  <si>
    <t>FEBRUARY 14TH</t>
  </si>
  <si>
    <t>FEBRUARY 13TH</t>
  </si>
  <si>
    <t>WEST END LIMITED</t>
  </si>
  <si>
    <t>STACO INSURANCE PLC</t>
  </si>
  <si>
    <t>TAFSAN TOURS AND TRAVELS LIMITED</t>
  </si>
  <si>
    <t>C&amp;K TEMPLATE NIGERIA LIMITED</t>
  </si>
  <si>
    <t>DEPOTTER NIGERIA LTD</t>
  </si>
  <si>
    <t>FANTEIN NIGERIA LTD</t>
  </si>
  <si>
    <t>FORTRESS CAPITAL LIMITED</t>
  </si>
  <si>
    <t>MAINLAND OIL &amp; GAS CO. LTD</t>
  </si>
  <si>
    <t>TGM EDUCATION</t>
  </si>
  <si>
    <t>OCEANGLORY LIMITED</t>
  </si>
  <si>
    <t>SOATEC ENGINEERING SERVICES (WIA) LTD</t>
  </si>
  <si>
    <t>STRONGMAS GROUP</t>
  </si>
  <si>
    <t>,</t>
  </si>
  <si>
    <t>VICTORIA CROWN PLAZA HOTEL</t>
  </si>
  <si>
    <t>CHF HERON LIMITED</t>
  </si>
  <si>
    <t>INTERNATIONAL CENTRE FOR INVESTIGATIVE RPT</t>
  </si>
  <si>
    <t>TELENOETICA LIMITED</t>
  </si>
  <si>
    <t>STAROFFSHORE ENERGY NIG. LTD_BATCH B</t>
  </si>
  <si>
    <t>FIRST CHOICE MICRO FINANCE COOPERATIVE SOCIETY</t>
  </si>
  <si>
    <t>THE GOOD PRACTICE COMPANY LIMITED</t>
  </si>
  <si>
    <t>CLINTON OIL FIELD LTD</t>
  </si>
  <si>
    <t>FORTRESS MICROFINANCE BANK LIMITED</t>
  </si>
  <si>
    <t>GRACECO LIMITED</t>
  </si>
  <si>
    <t>KRIS OIL INTEGRATED SERVICES LTD</t>
  </si>
  <si>
    <t>ADENIJI KAZEEM &amp; CO</t>
  </si>
  <si>
    <t>BISHOP HOWELLS MEMORIAL GRAMM. SCH.</t>
  </si>
  <si>
    <t>TOMSEY ENGINEERING &amp; SERVICES INTL LTD</t>
  </si>
  <si>
    <t>ADLAND PROJECTS (NIG) LIMITED</t>
  </si>
  <si>
    <t>SYPHER PROFESSIONAL SERVICES</t>
  </si>
  <si>
    <t>REDEEMED CHRISTIAN CHUCH OF GOD (PROVINCE 15)</t>
  </si>
  <si>
    <t>Sowsco Inspection Division</t>
  </si>
  <si>
    <t>DABS NUTRITIONAL PRODUCTS LIMITED</t>
  </si>
  <si>
    <t>EMERALD COURT RESIDENCE SOLUTIONS</t>
  </si>
  <si>
    <t>SNOW MICROFINANCE BANK</t>
  </si>
  <si>
    <t>TYONEX NIGERIA LTD.</t>
  </si>
  <si>
    <t>WITSSPRINGS HOTEL AND SUITES</t>
  </si>
  <si>
    <t>ALPHAGRAM LIMITED (LUCKYBET)</t>
  </si>
  <si>
    <t>CHIPET OIL</t>
  </si>
  <si>
    <t>CLINIX HEALTHCARE AWKA</t>
  </si>
  <si>
    <t>EMPIRE TRUST MICROFINANCE BANK LIMITED</t>
  </si>
  <si>
    <t>POWERPRO LTD</t>
  </si>
  <si>
    <t>MARTGLOBAL LIMITED</t>
  </si>
  <si>
    <t>RELCHEM LTD</t>
  </si>
  <si>
    <t>STAROFFSHORE ENERGY (NIG) LTD.</t>
  </si>
  <si>
    <t>TAQWA PRIVATE SCHOOLS</t>
  </si>
  <si>
    <t>ASSOCIATION OF MASS COMM. STUDENTS OF 94/99</t>
  </si>
  <si>
    <t>LADO OIL CHEMICALS NIG. LTD.</t>
  </si>
  <si>
    <t>CASPER TECHNOLOGIES NIG. LTD</t>
  </si>
  <si>
    <t>VACCIPHARM LTD.</t>
  </si>
  <si>
    <t>MCCXEN LIMITED</t>
  </si>
  <si>
    <t>SEALING ENGINEERING SERVICES LTD.</t>
  </si>
  <si>
    <t>KEZIF INTERGRATED RESOURCE LIMITED</t>
  </si>
  <si>
    <t>SECURED RECORDS MGT SOLUTIONS LTD</t>
  </si>
  <si>
    <t>CLOUD ENERGY PHOTOELECTRIC LTD</t>
  </si>
  <si>
    <t>ELSATECH NIGERIA LTD</t>
  </si>
  <si>
    <t>KOOLBOKS LIMITED</t>
  </si>
  <si>
    <t>Missionary Society of St Paul</t>
  </si>
  <si>
    <t>AFRICAN EXHIBITION SERVICES</t>
  </si>
  <si>
    <t>BELLARGE GLOBAL SERVICES LTD</t>
  </si>
  <si>
    <t>CORDROS CAPITAL</t>
  </si>
  <si>
    <t>BIU FORT HOME LIMITED</t>
  </si>
  <si>
    <t>DOVE REDEEMED SCHOOL</t>
  </si>
  <si>
    <t>EMALESSON ENTERPRISE LIMITED</t>
  </si>
  <si>
    <t>INSTALLENTALLY</t>
  </si>
  <si>
    <t>PRECISION ENERGY AND PROCUREMENT SERVICES LTD</t>
  </si>
  <si>
    <t>PREMIUM EDGE ASSOCIATES LIMITED</t>
  </si>
  <si>
    <t>ALEKUN MICROFINANCE BANK</t>
  </si>
  <si>
    <t>BLACK PELICAN LIMITED</t>
  </si>
  <si>
    <t>CENTRE BASE CONSULT LTD.</t>
  </si>
  <si>
    <t>MAINWAY INSURANCE BROKERS</t>
  </si>
  <si>
    <t>MASTERPIECE ENERGIES LTD</t>
  </si>
  <si>
    <t>OSCAR MARINE LIMITED</t>
  </si>
  <si>
    <t>ROYAL HERITAGE HEALTH FOUNDATION MAIDUGURI</t>
  </si>
  <si>
    <t>AMECRON NIGERIA LIMITED / SPDC</t>
  </si>
  <si>
    <t>CVCOMM WEST AFRICA</t>
  </si>
  <si>
    <t>MORDERN STANDARD INSURANCE BROKERS LTD</t>
  </si>
  <si>
    <t>INFORMATION ENGINEERING TECHNOLOGIES LTD</t>
  </si>
  <si>
    <t>LAGOS ANGLICAN SCH MGT. BOARD</t>
  </si>
  <si>
    <t>ZEIT ENGINEERING CO LIMITED</t>
  </si>
  <si>
    <t>ASSOCIATION OF PRIVATE PRACTISING SURVEYORS OF NIGERIA</t>
  </si>
  <si>
    <t>ELECTRA GLOBAL LOGISTICS</t>
  </si>
  <si>
    <t>NATHAN CLAIRE INTERNATIONAL</t>
  </si>
  <si>
    <t>The Infrastructure Bank Plc</t>
  </si>
  <si>
    <t>CORAL BLUE LIMITED</t>
  </si>
  <si>
    <t>NIGERIA GAS ASSOCIATION</t>
  </si>
  <si>
    <t>TEMBO CARE LIMITED</t>
  </si>
  <si>
    <t>FIRST EQUITORIAL GROUP</t>
  </si>
  <si>
    <t>OCEAN SEED NIGERIA LIMITED</t>
  </si>
  <si>
    <t>AIRFRANCE PRADA</t>
  </si>
  <si>
    <t>CONCESSIONARY LOGISTICS LIMITED</t>
  </si>
  <si>
    <t>QUEENSLAND ACADEMY SCHOOL</t>
  </si>
  <si>
    <t>TOPKLAN ENGINEERING SERVICES LTD.</t>
  </si>
  <si>
    <t>DUGO LIMITED</t>
  </si>
  <si>
    <t>PETROSAVE INTEGRATED SERVICES LIMITED</t>
  </si>
  <si>
    <t>PRICEWATERHOUSE COOPERS</t>
  </si>
  <si>
    <t>SUPPRIUM NIG. LTD.</t>
  </si>
  <si>
    <t>UNCHAINED VIBES AFRICA</t>
  </si>
  <si>
    <t>WILSON CAFE</t>
  </si>
  <si>
    <t>ACE FACADE LIMITED</t>
  </si>
  <si>
    <t>FUTUREVIEW GROUP</t>
  </si>
  <si>
    <t>GEM PETROL CHEMICAL CO. NIG. LTD.</t>
  </si>
  <si>
    <t>JERICHO APARTMENTS</t>
  </si>
  <si>
    <t>SHOWERS KIDDIES PUBLISHERS LIMITED</t>
  </si>
  <si>
    <t>UNIQUE INSTRUMENTS &amp; SCIENCE CO LTD</t>
  </si>
  <si>
    <t>CHIBEK INSTRUMENTS NIG LTD</t>
  </si>
  <si>
    <t>JOHN ZEDOMI AND ASSOCIATES</t>
  </si>
  <si>
    <t>LIFESIGN HEALTHCARE LIMITED</t>
  </si>
  <si>
    <t>ST BERNARD SEMINARY</t>
  </si>
  <si>
    <t>TAC PROFESSIONAL SERVICES</t>
  </si>
  <si>
    <t>TOSIN KADIRI &amp; ASSOCIATES</t>
  </si>
  <si>
    <t>BANEX GROUP LIMITED</t>
  </si>
  <si>
    <t>EUODIA WHOLEFOODS LTD</t>
  </si>
  <si>
    <t>PREMIUM CAKE</t>
  </si>
  <si>
    <t>JESSCA</t>
  </si>
  <si>
    <t>CATHEM EYE HOSPITAL</t>
  </si>
  <si>
    <t>CSENSE LIMITED</t>
  </si>
  <si>
    <t>GODP</t>
  </si>
  <si>
    <t>J&amp;Z GLOBAL COMMERCIAL VENT LTD (FOGG)</t>
  </si>
  <si>
    <t>JULLY &amp; PARTNERS</t>
  </si>
  <si>
    <t>AFRICAN HEALTH EMPOWERMENT &amp; ADV.</t>
  </si>
  <si>
    <t>New Revelation Baptist Church</t>
  </si>
  <si>
    <t>SETEMBER</t>
  </si>
  <si>
    <t>AT AND S LIMITED</t>
  </si>
  <si>
    <t>FEDERAL GOVERNMENT COLLEGE PORT HARCOURT OLD STUDENTS ASSOCIATION 95 SET</t>
  </si>
  <si>
    <t>May</t>
  </si>
  <si>
    <t>AEGIS CARDS LIMITED</t>
  </si>
  <si>
    <t>ASSOCIATION OF SHOP OWNERS SURA SHOPPING COMPLEX</t>
  </si>
  <si>
    <t>FIGOURS INNOVATION LIMITED</t>
  </si>
  <si>
    <t>LANI GROUP</t>
  </si>
  <si>
    <t>LOA ARCHITECTS LIMITED</t>
  </si>
  <si>
    <t>OBOR LOGISTICS</t>
  </si>
  <si>
    <t>OYSTER GLOBAL LINKS LIMITED</t>
  </si>
  <si>
    <t>RSDG Ventures Limited</t>
  </si>
  <si>
    <t>SEKAT TECHNOLOGIES AND INV. LTD.</t>
  </si>
  <si>
    <t>SIMPLE FINANCE LIMITED</t>
  </si>
  <si>
    <t>BLOOMTECH INFRASTRUCTURE LIMITED</t>
  </si>
  <si>
    <t>LAGOS ANGLICAN NUR. AND PRY. SCH.</t>
  </si>
  <si>
    <t>MASHA MUSIC ACADEMY</t>
  </si>
  <si>
    <t>POWERED-UP MOTIVATIONAL SERVICES LTD</t>
  </si>
  <si>
    <t>WALLZ &amp; QUEEN NIGERIA LIMITED</t>
  </si>
  <si>
    <t>ERAWELL INSURANCE BROKERS LIMITED</t>
  </si>
  <si>
    <t>Milway Resources Limited</t>
  </si>
  <si>
    <t>MOZFIN MFB LTD.</t>
  </si>
  <si>
    <t>PAKWAY INDUSTRIES NIG LTD (SUBSIDIARY OF CWAY GROUP)</t>
  </si>
  <si>
    <t>TIFA TRAVELS AND TOURS LTD</t>
  </si>
  <si>
    <t>WELLWAY PLASTIC NIG LTD (NEW WAY)</t>
  </si>
  <si>
    <t>YASARA INTERNATIONAL SERVICES LIMITED</t>
  </si>
  <si>
    <t>MELPHATI SOLUTIONS</t>
  </si>
  <si>
    <t>BLACK SILICON LIMITED</t>
  </si>
  <si>
    <t>NIJI ONI &amp; CO.</t>
  </si>
  <si>
    <t>ADIGUN OGUNSEITAN AND COMPANY</t>
  </si>
  <si>
    <t>IDEVWORK TECHNOLOGIES LTD.</t>
  </si>
  <si>
    <t>LUMOS NIGERIA LTD.</t>
  </si>
  <si>
    <t>ESHER &amp; MAKARIOS</t>
  </si>
  <si>
    <t>JAB INSURANCE BROKER NIG LIMITED</t>
  </si>
  <si>
    <t>TWINING FOR HEALTHSUPPORT INITIATIVE NIG</t>
  </si>
  <si>
    <t>CORDROS ASSET MANAGEMENT</t>
  </si>
  <si>
    <t>NAPIFORM GLOBAL SERVICES LTD (BOCOP ENERGY LTD)</t>
  </si>
  <si>
    <t>VIRTUALFLUX INTEGRATED LIMITED</t>
  </si>
  <si>
    <t>CLENSOU NIGERIA LIMITED</t>
  </si>
  <si>
    <t>EXELON OILFIELD SUPPORT SERVICES LTD</t>
  </si>
  <si>
    <t>VICALS TRAVELS AND TOURS LIMITED</t>
  </si>
  <si>
    <t>CORDROS SECURITY LIMITED</t>
  </si>
  <si>
    <t>CFI ENGINEERING SERVICES LTD</t>
  </si>
  <si>
    <t>CORDROS CAPITAL INVESTMENT BANKING LIMITED</t>
  </si>
  <si>
    <t>INSTITUTE OF CHARTERED SECRETARIES &amp; ADMINISTRATORS OF NIGERIA</t>
  </si>
  <si>
    <t>RASAYELA NIG LTD</t>
  </si>
  <si>
    <t>SPECTRUM MICROFINANCE BANK</t>
  </si>
  <si>
    <t>GOLDEN SUPER</t>
  </si>
  <si>
    <t>IRREGULAR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</si>
</sst>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" fontId="0" fillId="0" borderId="0" xfId="0" applyNumberFormat="1"/>
    <xf numFmtId="3" fontId="0" fillId="0" borderId="0" xfId="0" applyNumberFormat="1"/>
    <xf numFmtId="17" fontId="0" fillId="0" borderId="0" xfId="0" applyNumberFormat="1"/>
    <xf numFmtId="0" fontId="0" fillId="2" borderId="0" xfId="0" applyFill="1"/>
    <xf numFmtId="43" fontId="0" fillId="0" borderId="0" xfId="1" applyFont="1"/>
    <xf numFmtId="43" fontId="0" fillId="2" borderId="0" xfId="1" applyFont="1" applyFill="1"/>
    <xf numFmtId="4" fontId="3" fillId="0" borderId="0" xfId="0" applyNumberFormat="1" applyFont="1"/>
    <xf numFmtId="0" fontId="3" fillId="0" borderId="0" xfId="0" applyFont="1"/>
    <xf numFmtId="0" fontId="2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F50B-6344-48C1-82A3-C43A84F2FCA8}">
  <dimension ref="A1:AMJ319"/>
  <sheetViews>
    <sheetView tabSelected="1" topLeftCell="A205" workbookViewId="0">
      <selection activeCell="A286" sqref="A286:XFD302"/>
    </sheetView>
  </sheetViews>
  <sheetFormatPr defaultRowHeight="14.5" x14ac:dyDescent="0.35"/>
  <cols>
    <col min="1" max="1" width="3.81640625" bestFit="1" customWidth="1"/>
    <col min="2" max="2" width="75.26953125" bestFit="1" customWidth="1"/>
    <col min="3" max="3" width="15.08984375" bestFit="1" customWidth="1"/>
    <col min="4" max="4" width="19.90625" bestFit="1" customWidth="1"/>
    <col min="5" max="5" width="16.1796875" bestFit="1" customWidth="1"/>
    <col min="6" max="6" width="20.08984375" bestFit="1" customWidth="1"/>
    <col min="7" max="14" width="13.36328125" bestFit="1" customWidth="1"/>
    <col min="15" max="15" width="12.26953125" bestFit="1" customWidth="1"/>
    <col min="16" max="17" width="13.36328125" bestFit="1" customWidth="1"/>
    <col min="18" max="18" width="12.26953125" bestFit="1" customWidth="1"/>
    <col min="19" max="19" width="14.81640625" bestFit="1" customWidth="1"/>
    <col min="20" max="20" width="20.08984375" bestFit="1" customWidth="1"/>
    <col min="21" max="21" width="27.81640625" bestFit="1" customWidth="1"/>
    <col min="1024" max="1024" width="1.26953125" bestFit="1" customWidth="1"/>
  </cols>
  <sheetData>
    <row r="1" spans="1:20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</row>
    <row r="2" spans="1:20" x14ac:dyDescent="0.35">
      <c r="A2">
        <v>1</v>
      </c>
      <c r="B2" t="s">
        <v>20</v>
      </c>
      <c r="C2">
        <v>18689</v>
      </c>
      <c r="D2" t="s">
        <v>23</v>
      </c>
      <c r="E2" t="s">
        <v>28</v>
      </c>
      <c r="F2" t="s">
        <v>29</v>
      </c>
      <c r="G2" s="1">
        <v>22943750</v>
      </c>
      <c r="J2" s="1">
        <v>22943750</v>
      </c>
      <c r="M2" s="1">
        <v>22943750</v>
      </c>
      <c r="P2" s="1">
        <v>22943750</v>
      </c>
      <c r="S2" s="1">
        <v>91775000</v>
      </c>
      <c r="T2" t="s">
        <v>21</v>
      </c>
    </row>
    <row r="3" spans="1:20" x14ac:dyDescent="0.35">
      <c r="A3">
        <v>2</v>
      </c>
      <c r="B3" t="s">
        <v>22</v>
      </c>
      <c r="C3">
        <v>8424</v>
      </c>
      <c r="D3" t="s">
        <v>23</v>
      </c>
      <c r="E3" t="s">
        <v>24</v>
      </c>
      <c r="F3" t="s">
        <v>25</v>
      </c>
      <c r="G3" s="1">
        <v>69396416.659999996</v>
      </c>
      <c r="J3" s="1">
        <v>69396416.659999996</v>
      </c>
      <c r="M3" s="1">
        <v>69396416.659999996</v>
      </c>
      <c r="P3" s="1">
        <v>69396416.659999996</v>
      </c>
      <c r="S3" s="1">
        <v>277585666.63999999</v>
      </c>
      <c r="T3" t="s">
        <v>26</v>
      </c>
    </row>
    <row r="4" spans="1:20" x14ac:dyDescent="0.35">
      <c r="A4">
        <v>3</v>
      </c>
      <c r="B4" t="s">
        <v>27</v>
      </c>
      <c r="C4">
        <v>4787</v>
      </c>
      <c r="D4" t="s">
        <v>23</v>
      </c>
      <c r="E4" t="s">
        <v>28</v>
      </c>
      <c r="F4" t="s">
        <v>29</v>
      </c>
      <c r="G4" s="2">
        <v>34254750</v>
      </c>
      <c r="J4" s="2">
        <v>34254750</v>
      </c>
      <c r="M4" s="2">
        <v>34254750</v>
      </c>
      <c r="P4" s="2">
        <v>34254750</v>
      </c>
      <c r="S4" s="1">
        <v>137019000</v>
      </c>
      <c r="T4" t="s">
        <v>30</v>
      </c>
    </row>
    <row r="5" spans="1:20" x14ac:dyDescent="0.35">
      <c r="A5">
        <v>4</v>
      </c>
      <c r="B5" t="s">
        <v>31</v>
      </c>
      <c r="C5">
        <v>3478</v>
      </c>
      <c r="D5" t="s">
        <v>32</v>
      </c>
      <c r="E5" t="s">
        <v>33</v>
      </c>
      <c r="F5" t="s">
        <v>34</v>
      </c>
      <c r="G5" s="1">
        <v>19227750</v>
      </c>
      <c r="H5" s="1">
        <v>19227750</v>
      </c>
      <c r="I5" s="1">
        <v>19227750</v>
      </c>
      <c r="J5" s="1">
        <v>19227750</v>
      </c>
      <c r="K5" s="1">
        <v>19227750</v>
      </c>
      <c r="L5" s="1">
        <v>19227750</v>
      </c>
      <c r="M5" s="1">
        <v>19227750</v>
      </c>
      <c r="N5" s="1">
        <v>19227750</v>
      </c>
      <c r="O5" s="1">
        <v>19227750</v>
      </c>
      <c r="P5" s="1">
        <v>19227750</v>
      </c>
      <c r="Q5" s="1">
        <v>19227750</v>
      </c>
      <c r="R5" s="1">
        <v>19227750</v>
      </c>
      <c r="S5" s="1">
        <v>230733000</v>
      </c>
      <c r="T5" t="s">
        <v>26</v>
      </c>
    </row>
    <row r="6" spans="1:20" x14ac:dyDescent="0.35">
      <c r="A6">
        <v>5</v>
      </c>
      <c r="B6" t="s">
        <v>35</v>
      </c>
      <c r="C6">
        <v>2213</v>
      </c>
      <c r="D6" t="s">
        <v>36</v>
      </c>
      <c r="E6" t="s">
        <v>37</v>
      </c>
      <c r="F6" t="s">
        <v>38</v>
      </c>
      <c r="G6" s="2">
        <v>3073000</v>
      </c>
      <c r="H6" s="2">
        <v>3073000</v>
      </c>
      <c r="I6" s="2">
        <v>3073000</v>
      </c>
      <c r="J6" s="2">
        <v>3073000</v>
      </c>
      <c r="K6" s="2">
        <v>3073000</v>
      </c>
      <c r="L6" s="2">
        <v>3073000</v>
      </c>
      <c r="M6" s="2">
        <v>3073000</v>
      </c>
      <c r="N6" s="2">
        <v>3073000</v>
      </c>
      <c r="O6" s="2">
        <v>3073000</v>
      </c>
      <c r="P6" s="2">
        <v>3073000</v>
      </c>
      <c r="Q6" s="2">
        <v>3073000</v>
      </c>
      <c r="R6" s="2">
        <v>3073000</v>
      </c>
      <c r="S6" s="1">
        <v>36876000</v>
      </c>
      <c r="T6" t="s">
        <v>39</v>
      </c>
    </row>
    <row r="7" spans="1:20" x14ac:dyDescent="0.35">
      <c r="A7">
        <v>6</v>
      </c>
      <c r="B7" t="s">
        <v>40</v>
      </c>
      <c r="C7">
        <v>1876</v>
      </c>
      <c r="D7" t="s">
        <v>41</v>
      </c>
      <c r="E7" t="s">
        <v>24</v>
      </c>
      <c r="F7" t="s">
        <v>25</v>
      </c>
      <c r="G7" s="1">
        <v>41601625</v>
      </c>
      <c r="M7" s="1">
        <v>42300000</v>
      </c>
      <c r="S7" s="1">
        <v>83901625</v>
      </c>
      <c r="T7" t="s">
        <v>39</v>
      </c>
    </row>
    <row r="8" spans="1:20" x14ac:dyDescent="0.35">
      <c r="A8">
        <v>7</v>
      </c>
      <c r="B8" t="s">
        <v>42</v>
      </c>
      <c r="C8">
        <v>1439</v>
      </c>
      <c r="D8" t="s">
        <v>43</v>
      </c>
      <c r="E8" t="s">
        <v>44</v>
      </c>
      <c r="F8" t="s">
        <v>45</v>
      </c>
      <c r="G8" s="1">
        <v>19000000</v>
      </c>
      <c r="J8" s="1">
        <v>19000000</v>
      </c>
      <c r="M8" s="1">
        <v>19000000</v>
      </c>
      <c r="P8" s="1">
        <v>19000000</v>
      </c>
      <c r="S8" s="1">
        <v>76000000</v>
      </c>
      <c r="T8" t="s">
        <v>39</v>
      </c>
    </row>
    <row r="9" spans="1:20" x14ac:dyDescent="0.35">
      <c r="A9">
        <v>8</v>
      </c>
      <c r="B9" t="s">
        <v>46</v>
      </c>
      <c r="C9">
        <v>1382</v>
      </c>
      <c r="D9" t="s">
        <v>47</v>
      </c>
      <c r="E9" t="s">
        <v>25</v>
      </c>
      <c r="F9" t="s">
        <v>33</v>
      </c>
      <c r="L9" s="1">
        <v>40482000</v>
      </c>
      <c r="S9" s="1">
        <v>40482000</v>
      </c>
      <c r="T9" t="s">
        <v>26</v>
      </c>
    </row>
    <row r="10" spans="1:20" x14ac:dyDescent="0.35">
      <c r="A10">
        <v>9</v>
      </c>
      <c r="B10" t="s">
        <v>48</v>
      </c>
      <c r="C10">
        <v>1353</v>
      </c>
      <c r="D10" t="s">
        <v>23</v>
      </c>
      <c r="E10" t="s">
        <v>38</v>
      </c>
      <c r="F10" t="s">
        <v>44</v>
      </c>
      <c r="H10" s="2">
        <v>12750000</v>
      </c>
      <c r="K10" s="2">
        <v>12750000</v>
      </c>
      <c r="N10" s="2">
        <v>12750000</v>
      </c>
      <c r="Q10" s="2">
        <v>12750000</v>
      </c>
      <c r="S10" s="1">
        <v>51000000</v>
      </c>
      <c r="T10" t="s">
        <v>30</v>
      </c>
    </row>
    <row r="11" spans="1:20" x14ac:dyDescent="0.35">
      <c r="A11">
        <v>10</v>
      </c>
      <c r="B11" t="s">
        <v>49</v>
      </c>
      <c r="C11">
        <v>1190</v>
      </c>
      <c r="D11" t="s">
        <v>43</v>
      </c>
      <c r="E11" t="s">
        <v>33</v>
      </c>
      <c r="F11" t="s">
        <v>34</v>
      </c>
      <c r="H11" s="1">
        <v>10223750</v>
      </c>
      <c r="K11" s="1">
        <v>10223750</v>
      </c>
      <c r="N11" s="1">
        <v>10543750</v>
      </c>
      <c r="Q11" s="1">
        <v>10508750</v>
      </c>
      <c r="S11" s="1">
        <v>41500000</v>
      </c>
      <c r="T11" t="s">
        <v>50</v>
      </c>
    </row>
    <row r="12" spans="1:20" x14ac:dyDescent="0.35">
      <c r="A12">
        <v>11</v>
      </c>
      <c r="B12" t="s">
        <v>51</v>
      </c>
      <c r="C12">
        <v>1057</v>
      </c>
      <c r="D12" t="s">
        <v>23</v>
      </c>
      <c r="E12" t="s">
        <v>44</v>
      </c>
      <c r="F12" t="s">
        <v>45</v>
      </c>
      <c r="G12" s="1">
        <v>35968548.469999999</v>
      </c>
      <c r="J12" s="1">
        <v>35968548.469999999</v>
      </c>
      <c r="M12" s="1">
        <v>35968548.469999999</v>
      </c>
      <c r="P12" s="1">
        <v>35968548.469999999</v>
      </c>
      <c r="S12" s="1">
        <v>143874193.90000001</v>
      </c>
      <c r="T12" t="s">
        <v>26</v>
      </c>
    </row>
    <row r="13" spans="1:20" x14ac:dyDescent="0.35">
      <c r="A13">
        <v>12</v>
      </c>
      <c r="B13" t="s">
        <v>52</v>
      </c>
      <c r="C13">
        <v>1018</v>
      </c>
      <c r="D13" t="s">
        <v>23</v>
      </c>
      <c r="E13" t="s">
        <v>28</v>
      </c>
      <c r="F13" t="s">
        <v>29</v>
      </c>
      <c r="G13" s="1">
        <v>9570156.25</v>
      </c>
      <c r="J13" s="1">
        <v>9570156.25</v>
      </c>
      <c r="M13" s="1">
        <v>9570156.25</v>
      </c>
      <c r="P13" s="1">
        <v>9570156.25</v>
      </c>
      <c r="S13" s="1">
        <v>38280625</v>
      </c>
      <c r="T13" t="s">
        <v>26</v>
      </c>
    </row>
    <row r="14" spans="1:20" x14ac:dyDescent="0.35">
      <c r="A14">
        <v>13</v>
      </c>
      <c r="B14" t="s">
        <v>53</v>
      </c>
      <c r="C14">
        <v>952</v>
      </c>
      <c r="D14" t="s">
        <v>41</v>
      </c>
      <c r="E14" t="s">
        <v>45</v>
      </c>
      <c r="F14" t="s">
        <v>54</v>
      </c>
      <c r="G14" s="1">
        <v>14618490</v>
      </c>
      <c r="L14" s="1">
        <v>14618490</v>
      </c>
      <c r="S14" s="1">
        <v>29236980</v>
      </c>
      <c r="T14" t="s">
        <v>39</v>
      </c>
    </row>
    <row r="15" spans="1:20" x14ac:dyDescent="0.35">
      <c r="A15">
        <v>14</v>
      </c>
      <c r="B15" t="s">
        <v>55</v>
      </c>
      <c r="C15">
        <v>831</v>
      </c>
      <c r="D15" t="s">
        <v>23</v>
      </c>
      <c r="E15" t="s">
        <v>45</v>
      </c>
      <c r="F15" t="s">
        <v>54</v>
      </c>
      <c r="I15" s="1">
        <v>2692187.5</v>
      </c>
      <c r="L15" s="1">
        <v>2692187.5</v>
      </c>
      <c r="O15" s="1">
        <v>2692187.5</v>
      </c>
      <c r="R15" s="1">
        <v>2692187.5</v>
      </c>
      <c r="S15" s="1">
        <v>10768750</v>
      </c>
      <c r="T15" t="s">
        <v>30</v>
      </c>
    </row>
    <row r="16" spans="1:20" x14ac:dyDescent="0.35">
      <c r="A16">
        <v>15</v>
      </c>
      <c r="B16" t="s">
        <v>56</v>
      </c>
      <c r="C16">
        <v>521</v>
      </c>
      <c r="D16" t="s">
        <v>23</v>
      </c>
      <c r="E16" t="s">
        <v>34</v>
      </c>
      <c r="F16" t="s">
        <v>37</v>
      </c>
      <c r="G16" s="1">
        <v>11557946.699999999</v>
      </c>
      <c r="J16" s="1">
        <v>11557946.699999999</v>
      </c>
      <c r="M16" s="1">
        <v>11557946.699999999</v>
      </c>
      <c r="P16" s="1">
        <v>11557946.699999999</v>
      </c>
      <c r="S16" s="1">
        <v>46231786.799999997</v>
      </c>
      <c r="T16" t="s">
        <v>26</v>
      </c>
    </row>
    <row r="17" spans="1:20" x14ac:dyDescent="0.35">
      <c r="A17">
        <v>16</v>
      </c>
      <c r="B17" t="s">
        <v>57</v>
      </c>
      <c r="C17">
        <v>498</v>
      </c>
      <c r="D17" t="s">
        <v>58</v>
      </c>
      <c r="E17" t="s">
        <v>44</v>
      </c>
      <c r="F17" t="s">
        <v>45</v>
      </c>
      <c r="G17" s="2">
        <v>7880166</v>
      </c>
      <c r="M17" s="2">
        <v>7880166</v>
      </c>
      <c r="S17" s="1">
        <v>15760332</v>
      </c>
      <c r="T17" t="s">
        <v>30</v>
      </c>
    </row>
    <row r="18" spans="1:20" x14ac:dyDescent="0.35">
      <c r="A18">
        <v>17</v>
      </c>
      <c r="B18" t="s">
        <v>59</v>
      </c>
      <c r="C18">
        <v>495</v>
      </c>
      <c r="D18" t="s">
        <v>23</v>
      </c>
      <c r="E18" t="s">
        <v>44</v>
      </c>
      <c r="F18" t="s">
        <v>45</v>
      </c>
      <c r="G18" s="2">
        <v>6495750</v>
      </c>
      <c r="J18" s="2">
        <v>6495750</v>
      </c>
      <c r="M18" s="2">
        <v>6495750</v>
      </c>
      <c r="P18" s="2">
        <v>6495750</v>
      </c>
      <c r="S18" s="1">
        <v>25983000</v>
      </c>
      <c r="T18" t="s">
        <v>30</v>
      </c>
    </row>
    <row r="19" spans="1:20" x14ac:dyDescent="0.35">
      <c r="A19">
        <v>18</v>
      </c>
      <c r="B19" t="s">
        <v>60</v>
      </c>
      <c r="C19">
        <v>467</v>
      </c>
      <c r="D19" t="s">
        <v>32</v>
      </c>
      <c r="E19" t="s">
        <v>38</v>
      </c>
      <c r="F19" t="s">
        <v>44</v>
      </c>
      <c r="G19" s="1">
        <v>1677255.02</v>
      </c>
      <c r="H19" s="1">
        <v>1677255.02</v>
      </c>
      <c r="I19" s="1">
        <v>1677255.02</v>
      </c>
      <c r="J19" s="1">
        <v>1677255.02</v>
      </c>
      <c r="K19" s="1">
        <v>1677255.02</v>
      </c>
      <c r="L19" s="1">
        <v>1677255.02</v>
      </c>
      <c r="M19" s="1">
        <v>1677255.02</v>
      </c>
      <c r="N19" s="1">
        <v>1677255.02</v>
      </c>
      <c r="O19" s="1">
        <v>1677255.02</v>
      </c>
      <c r="P19" s="1">
        <v>1677255.02</v>
      </c>
      <c r="Q19" s="1">
        <v>1677255.02</v>
      </c>
      <c r="R19" s="1">
        <v>1677255.02</v>
      </c>
      <c r="S19" s="1">
        <v>20127060.239999998</v>
      </c>
      <c r="T19" t="s">
        <v>61</v>
      </c>
    </row>
    <row r="20" spans="1:20" x14ac:dyDescent="0.35">
      <c r="A20">
        <v>19</v>
      </c>
      <c r="B20" t="s">
        <v>62</v>
      </c>
      <c r="C20">
        <v>466</v>
      </c>
      <c r="D20" t="s">
        <v>23</v>
      </c>
      <c r="E20" t="s">
        <v>33</v>
      </c>
      <c r="F20" t="s">
        <v>34</v>
      </c>
      <c r="H20" s="1">
        <v>6872000</v>
      </c>
      <c r="K20" s="1">
        <v>6202500</v>
      </c>
      <c r="N20" s="1">
        <v>6917500</v>
      </c>
      <c r="Q20" s="1">
        <v>6685000</v>
      </c>
      <c r="S20" s="1">
        <v>26677000</v>
      </c>
      <c r="T20" t="s">
        <v>63</v>
      </c>
    </row>
    <row r="21" spans="1:20" x14ac:dyDescent="0.35">
      <c r="A21">
        <v>20</v>
      </c>
      <c r="B21" t="s">
        <v>64</v>
      </c>
      <c r="C21">
        <v>437</v>
      </c>
      <c r="D21" t="s">
        <v>23</v>
      </c>
      <c r="E21" t="s">
        <v>29</v>
      </c>
      <c r="F21" t="s">
        <v>65</v>
      </c>
      <c r="H21" s="2">
        <v>1344375</v>
      </c>
      <c r="K21" s="2">
        <v>1344375</v>
      </c>
      <c r="N21" s="2">
        <v>1344375</v>
      </c>
      <c r="Q21" s="2">
        <v>1344375</v>
      </c>
      <c r="S21" s="1">
        <v>5377500</v>
      </c>
      <c r="T21" t="s">
        <v>30</v>
      </c>
    </row>
    <row r="22" spans="1:20" x14ac:dyDescent="0.35">
      <c r="A22">
        <v>21</v>
      </c>
      <c r="B22" t="s">
        <v>66</v>
      </c>
      <c r="C22">
        <v>436</v>
      </c>
      <c r="E22" t="s">
        <v>54</v>
      </c>
      <c r="Q22" s="1">
        <v>31580000</v>
      </c>
      <c r="S22" s="1">
        <v>31580000</v>
      </c>
      <c r="T22" t="s">
        <v>26</v>
      </c>
    </row>
    <row r="23" spans="1:20" x14ac:dyDescent="0.35">
      <c r="A23">
        <v>22</v>
      </c>
      <c r="B23" t="s">
        <v>67</v>
      </c>
      <c r="C23">
        <v>392</v>
      </c>
      <c r="D23" t="s">
        <v>23</v>
      </c>
      <c r="E23" t="s">
        <v>44</v>
      </c>
      <c r="F23" t="s">
        <v>45</v>
      </c>
      <c r="G23" s="2">
        <v>4451250</v>
      </c>
      <c r="J23" s="2">
        <v>4451250</v>
      </c>
      <c r="M23" s="2">
        <v>4451250</v>
      </c>
      <c r="P23" s="2">
        <v>4451250</v>
      </c>
      <c r="S23" s="1">
        <v>17805000</v>
      </c>
      <c r="T23" t="s">
        <v>30</v>
      </c>
    </row>
    <row r="24" spans="1:20" x14ac:dyDescent="0.35">
      <c r="A24">
        <v>23</v>
      </c>
      <c r="B24" t="s">
        <v>68</v>
      </c>
      <c r="C24">
        <v>386</v>
      </c>
      <c r="D24" t="s">
        <v>23</v>
      </c>
      <c r="E24" t="s">
        <v>44</v>
      </c>
      <c r="F24" t="s">
        <v>45</v>
      </c>
      <c r="G24" s="1">
        <v>4721854.16</v>
      </c>
      <c r="J24" s="1">
        <v>4721854.16</v>
      </c>
      <c r="M24" s="1">
        <v>4721854.16</v>
      </c>
      <c r="P24" s="1">
        <v>4721854.16</v>
      </c>
      <c r="S24" s="1">
        <v>18887416.66</v>
      </c>
      <c r="T24" t="s">
        <v>26</v>
      </c>
    </row>
    <row r="25" spans="1:20" x14ac:dyDescent="0.35">
      <c r="A25">
        <v>24</v>
      </c>
      <c r="B25" t="s">
        <v>69</v>
      </c>
      <c r="C25">
        <v>373</v>
      </c>
      <c r="D25" t="s">
        <v>23</v>
      </c>
      <c r="E25" t="s">
        <v>44</v>
      </c>
      <c r="F25" t="s">
        <v>45</v>
      </c>
      <c r="G25" s="1">
        <v>3500000</v>
      </c>
      <c r="J25" s="1">
        <v>3500000</v>
      </c>
      <c r="M25" s="1">
        <v>3500000</v>
      </c>
      <c r="P25" s="1">
        <v>3500000</v>
      </c>
      <c r="S25" s="1">
        <v>12556000</v>
      </c>
      <c r="T25" t="s">
        <v>39</v>
      </c>
    </row>
    <row r="26" spans="1:20" x14ac:dyDescent="0.35">
      <c r="A26">
        <v>25</v>
      </c>
      <c r="B26" t="s">
        <v>70</v>
      </c>
      <c r="C26">
        <v>370</v>
      </c>
      <c r="D26" t="s">
        <v>71</v>
      </c>
      <c r="E26" t="s">
        <v>37</v>
      </c>
      <c r="F26" t="s">
        <v>38</v>
      </c>
      <c r="I26" s="1">
        <v>15500000</v>
      </c>
      <c r="M26" s="1">
        <v>15500000</v>
      </c>
      <c r="Q26" s="1">
        <v>13550000</v>
      </c>
      <c r="S26" s="1">
        <v>44550000</v>
      </c>
      <c r="T26" t="s">
        <v>61</v>
      </c>
    </row>
    <row r="27" spans="1:20" x14ac:dyDescent="0.35">
      <c r="A27">
        <v>26</v>
      </c>
      <c r="B27" t="s">
        <v>72</v>
      </c>
      <c r="C27">
        <v>358</v>
      </c>
      <c r="D27" t="s">
        <v>43</v>
      </c>
      <c r="E27" t="s">
        <v>38</v>
      </c>
      <c r="F27" t="s">
        <v>44</v>
      </c>
      <c r="H27" s="1">
        <v>4600416.66</v>
      </c>
      <c r="K27" s="1">
        <v>4600416.66</v>
      </c>
      <c r="N27" s="1">
        <v>4600416.66</v>
      </c>
      <c r="Q27" s="1">
        <v>4600416.66</v>
      </c>
      <c r="S27" s="1">
        <v>18401666.640000001</v>
      </c>
      <c r="T27" t="s">
        <v>73</v>
      </c>
    </row>
    <row r="28" spans="1:20" x14ac:dyDescent="0.35">
      <c r="A28">
        <v>27</v>
      </c>
      <c r="B28" t="s">
        <v>74</v>
      </c>
      <c r="C28">
        <v>353</v>
      </c>
      <c r="D28" t="s">
        <v>58</v>
      </c>
      <c r="E28" t="s">
        <v>44</v>
      </c>
      <c r="F28" t="s">
        <v>45</v>
      </c>
      <c r="G28" s="1">
        <v>13208125</v>
      </c>
      <c r="M28" s="1">
        <v>13208125</v>
      </c>
      <c r="S28" s="1">
        <v>26416250</v>
      </c>
      <c r="T28" t="s">
        <v>30</v>
      </c>
    </row>
    <row r="29" spans="1:20" x14ac:dyDescent="0.35">
      <c r="A29">
        <v>28</v>
      </c>
      <c r="B29" t="s">
        <v>75</v>
      </c>
      <c r="C29">
        <v>326</v>
      </c>
      <c r="J29" s="1">
        <v>10098000</v>
      </c>
      <c r="P29" s="1">
        <v>11319000</v>
      </c>
      <c r="S29" s="1">
        <v>21417000</v>
      </c>
      <c r="T29" t="s">
        <v>50</v>
      </c>
    </row>
    <row r="30" spans="1:20" x14ac:dyDescent="0.35">
      <c r="A30">
        <v>29</v>
      </c>
      <c r="B30" t="s">
        <v>76</v>
      </c>
      <c r="C30">
        <v>315</v>
      </c>
      <c r="D30" t="s">
        <v>23</v>
      </c>
      <c r="E30" t="s">
        <v>34</v>
      </c>
      <c r="F30" t="s">
        <v>37</v>
      </c>
      <c r="G30" s="1">
        <v>4288063</v>
      </c>
      <c r="J30" s="1">
        <v>4288063</v>
      </c>
      <c r="M30" s="1">
        <v>4288063</v>
      </c>
      <c r="P30" s="1">
        <v>4288063</v>
      </c>
      <c r="S30" s="1">
        <v>17152252</v>
      </c>
      <c r="T30" t="s">
        <v>63</v>
      </c>
    </row>
    <row r="31" spans="1:20" x14ac:dyDescent="0.35">
      <c r="A31">
        <v>30</v>
      </c>
      <c r="B31" t="s">
        <v>77</v>
      </c>
      <c r="C31">
        <v>307</v>
      </c>
      <c r="D31" t="s">
        <v>23</v>
      </c>
      <c r="E31" t="s">
        <v>33</v>
      </c>
      <c r="F31" t="s">
        <v>34</v>
      </c>
      <c r="H31" s="2">
        <v>2512500</v>
      </c>
      <c r="K31" s="2">
        <v>2512500</v>
      </c>
      <c r="N31" s="2">
        <v>2512500</v>
      </c>
      <c r="Q31" s="2">
        <v>2512500</v>
      </c>
      <c r="S31" s="1">
        <v>10050000</v>
      </c>
      <c r="T31" t="s">
        <v>30</v>
      </c>
    </row>
    <row r="32" spans="1:20" x14ac:dyDescent="0.35">
      <c r="A32">
        <v>31</v>
      </c>
      <c r="B32" t="s">
        <v>78</v>
      </c>
      <c r="C32">
        <v>301</v>
      </c>
      <c r="D32" t="s">
        <v>71</v>
      </c>
      <c r="E32" t="s">
        <v>33</v>
      </c>
      <c r="F32" t="s">
        <v>34</v>
      </c>
      <c r="H32" s="1">
        <v>5140000</v>
      </c>
      <c r="K32" s="1">
        <v>5000000</v>
      </c>
      <c r="O32" s="1">
        <v>6500000</v>
      </c>
      <c r="S32" s="1">
        <v>16640000</v>
      </c>
      <c r="T32" t="s">
        <v>50</v>
      </c>
    </row>
    <row r="33" spans="1:20" x14ac:dyDescent="0.35">
      <c r="A33">
        <v>32</v>
      </c>
      <c r="B33" t="s">
        <v>79</v>
      </c>
      <c r="C33">
        <v>285</v>
      </c>
      <c r="D33" t="s">
        <v>23</v>
      </c>
      <c r="E33" t="s">
        <v>25</v>
      </c>
      <c r="F33" t="s">
        <v>33</v>
      </c>
      <c r="I33" s="1">
        <v>3540000</v>
      </c>
      <c r="L33" s="1">
        <v>3540000</v>
      </c>
      <c r="O33" s="1">
        <v>3540000</v>
      </c>
      <c r="R33" s="1">
        <v>3540000</v>
      </c>
      <c r="S33" s="1">
        <v>14160000</v>
      </c>
      <c r="T33" t="s">
        <v>39</v>
      </c>
    </row>
    <row r="34" spans="1:20" x14ac:dyDescent="0.35">
      <c r="A34">
        <v>33</v>
      </c>
      <c r="B34" t="s">
        <v>80</v>
      </c>
      <c r="C34">
        <v>284</v>
      </c>
      <c r="D34" t="s">
        <v>58</v>
      </c>
      <c r="E34" t="s">
        <v>24</v>
      </c>
      <c r="F34" t="s">
        <v>25</v>
      </c>
      <c r="L34" s="1">
        <v>8240000</v>
      </c>
      <c r="R34" s="1">
        <v>10843000</v>
      </c>
      <c r="S34" s="1">
        <v>19083000</v>
      </c>
      <c r="T34" t="s">
        <v>50</v>
      </c>
    </row>
    <row r="35" spans="1:20" x14ac:dyDescent="0.35">
      <c r="A35">
        <v>34</v>
      </c>
      <c r="B35" t="s">
        <v>81</v>
      </c>
      <c r="C35">
        <v>281</v>
      </c>
      <c r="D35" t="s">
        <v>43</v>
      </c>
      <c r="E35" t="s">
        <v>82</v>
      </c>
      <c r="F35" t="s">
        <v>24</v>
      </c>
      <c r="N35" s="1">
        <v>2980000</v>
      </c>
      <c r="Q35" s="1">
        <v>1933333.33</v>
      </c>
      <c r="S35" s="1">
        <v>4913333.33</v>
      </c>
      <c r="T35" t="s">
        <v>50</v>
      </c>
    </row>
    <row r="36" spans="1:20" x14ac:dyDescent="0.35">
      <c r="A36">
        <v>35</v>
      </c>
      <c r="B36" t="s">
        <v>83</v>
      </c>
      <c r="C36">
        <v>264</v>
      </c>
      <c r="D36" t="s">
        <v>342</v>
      </c>
      <c r="E36" t="s">
        <v>44</v>
      </c>
      <c r="F36" t="s">
        <v>45</v>
      </c>
      <c r="G36" s="2">
        <v>1014000</v>
      </c>
      <c r="H36" s="2">
        <v>1307150</v>
      </c>
      <c r="I36" s="2">
        <v>573800</v>
      </c>
      <c r="J36" s="2">
        <v>1049000</v>
      </c>
      <c r="K36" s="2">
        <v>1516480</v>
      </c>
      <c r="L36" s="2">
        <v>1230000</v>
      </c>
      <c r="M36" s="2">
        <v>1670000</v>
      </c>
      <c r="N36" s="2">
        <v>2329000</v>
      </c>
      <c r="O36" s="2">
        <v>1888000</v>
      </c>
      <c r="R36" s="2">
        <v>2592000</v>
      </c>
      <c r="S36" s="1">
        <v>15169430</v>
      </c>
      <c r="T36" t="s">
        <v>84</v>
      </c>
    </row>
    <row r="37" spans="1:20" x14ac:dyDescent="0.35">
      <c r="A37">
        <v>36</v>
      </c>
      <c r="B37" t="s">
        <v>85</v>
      </c>
      <c r="C37">
        <v>253</v>
      </c>
      <c r="D37" t="s">
        <v>23</v>
      </c>
      <c r="E37" t="s">
        <v>37</v>
      </c>
      <c r="F37" t="s">
        <v>38</v>
      </c>
      <c r="I37" s="1">
        <v>3600000</v>
      </c>
      <c r="L37" s="1">
        <v>3704166.67</v>
      </c>
      <c r="O37" s="1">
        <v>4037500</v>
      </c>
      <c r="R37" s="1">
        <v>3725000</v>
      </c>
      <c r="S37" s="1">
        <f>I37+L37+O37+R37</f>
        <v>15066666.67</v>
      </c>
      <c r="T37" t="s">
        <v>63</v>
      </c>
    </row>
    <row r="38" spans="1:20" x14ac:dyDescent="0.35">
      <c r="A38">
        <v>37</v>
      </c>
      <c r="B38" t="s">
        <v>86</v>
      </c>
      <c r="C38">
        <v>251</v>
      </c>
      <c r="D38" t="s">
        <v>47</v>
      </c>
      <c r="E38" t="s">
        <v>37</v>
      </c>
      <c r="F38" t="s">
        <v>38</v>
      </c>
      <c r="I38" s="1">
        <v>8190000</v>
      </c>
      <c r="S38" s="1">
        <v>8190000</v>
      </c>
      <c r="T38" t="s">
        <v>39</v>
      </c>
    </row>
    <row r="39" spans="1:20" x14ac:dyDescent="0.35">
      <c r="A39">
        <v>38</v>
      </c>
      <c r="B39" t="s">
        <v>87</v>
      </c>
      <c r="C39">
        <v>250</v>
      </c>
      <c r="D39" t="s">
        <v>23</v>
      </c>
      <c r="E39" t="s">
        <v>44</v>
      </c>
      <c r="F39" t="s">
        <v>45</v>
      </c>
      <c r="G39" s="2">
        <v>1701514</v>
      </c>
      <c r="J39" s="2">
        <v>1701514</v>
      </c>
      <c r="M39" s="2">
        <v>1701514</v>
      </c>
      <c r="P39" s="2">
        <v>1701514</v>
      </c>
      <c r="S39" s="1">
        <v>6806056</v>
      </c>
      <c r="T39" t="s">
        <v>88</v>
      </c>
    </row>
    <row r="40" spans="1:20" x14ac:dyDescent="0.35">
      <c r="A40">
        <v>39</v>
      </c>
      <c r="B40" t="s">
        <v>89</v>
      </c>
      <c r="C40">
        <v>247</v>
      </c>
      <c r="D40" t="s">
        <v>23</v>
      </c>
      <c r="E40" t="s">
        <v>34</v>
      </c>
      <c r="F40" t="s">
        <v>37</v>
      </c>
      <c r="G40" s="1">
        <v>3394881.25</v>
      </c>
      <c r="J40" s="1">
        <v>3394881.25</v>
      </c>
      <c r="M40" s="1">
        <v>3394881.25</v>
      </c>
      <c r="P40" s="1">
        <v>3394881.25</v>
      </c>
      <c r="S40" s="1">
        <v>13579525</v>
      </c>
      <c r="T40" t="s">
        <v>39</v>
      </c>
    </row>
    <row r="41" spans="1:20" x14ac:dyDescent="0.35">
      <c r="A41">
        <v>40</v>
      </c>
      <c r="B41" t="s">
        <v>90</v>
      </c>
      <c r="C41">
        <v>227</v>
      </c>
      <c r="D41" t="s">
        <v>58</v>
      </c>
      <c r="E41" t="s">
        <v>82</v>
      </c>
      <c r="F41" t="s">
        <v>24</v>
      </c>
      <c r="I41" s="1">
        <v>2450000</v>
      </c>
      <c r="N41" s="1">
        <v>11790000</v>
      </c>
      <c r="S41" s="1">
        <v>14240000</v>
      </c>
      <c r="T41" t="s">
        <v>63</v>
      </c>
    </row>
    <row r="42" spans="1:20" x14ac:dyDescent="0.35">
      <c r="A42">
        <v>41</v>
      </c>
      <c r="B42" t="s">
        <v>91</v>
      </c>
      <c r="C42">
        <v>227</v>
      </c>
      <c r="D42" t="s">
        <v>32</v>
      </c>
      <c r="E42" t="s">
        <v>25</v>
      </c>
      <c r="F42" t="s">
        <v>33</v>
      </c>
      <c r="G42" s="1">
        <v>565000</v>
      </c>
      <c r="H42" s="1">
        <v>565000</v>
      </c>
      <c r="I42" s="1">
        <v>565000</v>
      </c>
      <c r="J42" s="1">
        <v>565000</v>
      </c>
      <c r="K42" s="1">
        <v>565000</v>
      </c>
      <c r="L42" s="1">
        <v>565000</v>
      </c>
      <c r="M42" s="1">
        <v>565000</v>
      </c>
      <c r="N42" s="1">
        <v>555000</v>
      </c>
      <c r="O42" s="1">
        <v>570000</v>
      </c>
      <c r="P42" s="1">
        <v>570000</v>
      </c>
      <c r="Q42" s="1">
        <v>552500</v>
      </c>
      <c r="R42" s="1">
        <v>565000</v>
      </c>
      <c r="S42" s="1">
        <v>6767500</v>
      </c>
      <c r="T42" t="s">
        <v>50</v>
      </c>
    </row>
    <row r="43" spans="1:20" x14ac:dyDescent="0.35">
      <c r="A43">
        <v>42</v>
      </c>
      <c r="B43" t="s">
        <v>92</v>
      </c>
      <c r="C43">
        <v>222</v>
      </c>
      <c r="D43" t="s">
        <v>58</v>
      </c>
      <c r="E43" t="s">
        <v>54</v>
      </c>
      <c r="F43" t="s">
        <v>28</v>
      </c>
      <c r="K43" s="1">
        <v>1710000</v>
      </c>
      <c r="Q43" s="1">
        <v>1710000</v>
      </c>
      <c r="S43" s="1">
        <v>3420000</v>
      </c>
      <c r="T43" t="s">
        <v>63</v>
      </c>
    </row>
    <row r="44" spans="1:20" x14ac:dyDescent="0.35">
      <c r="A44">
        <v>43</v>
      </c>
      <c r="B44" t="s">
        <v>93</v>
      </c>
      <c r="C44">
        <v>220</v>
      </c>
      <c r="D44" t="s">
        <v>47</v>
      </c>
      <c r="E44" t="s">
        <v>29</v>
      </c>
      <c r="F44" t="s">
        <v>65</v>
      </c>
      <c r="N44" s="1">
        <v>12948000</v>
      </c>
      <c r="S44" s="1">
        <v>12948000</v>
      </c>
      <c r="T44" t="s">
        <v>94</v>
      </c>
    </row>
    <row r="45" spans="1:20" x14ac:dyDescent="0.35">
      <c r="A45">
        <v>44</v>
      </c>
      <c r="B45" t="s">
        <v>95</v>
      </c>
      <c r="C45">
        <v>211</v>
      </c>
      <c r="D45" t="s">
        <v>43</v>
      </c>
      <c r="E45" t="s">
        <v>82</v>
      </c>
      <c r="F45" t="s">
        <v>24</v>
      </c>
      <c r="H45" s="1">
        <v>2100000</v>
      </c>
      <c r="K45" s="1">
        <v>2100000</v>
      </c>
      <c r="N45" s="1">
        <v>2100000</v>
      </c>
      <c r="Q45" s="1">
        <v>2100000</v>
      </c>
      <c r="S45" s="1">
        <v>8400000</v>
      </c>
      <c r="T45" t="s">
        <v>61</v>
      </c>
    </row>
    <row r="46" spans="1:20" x14ac:dyDescent="0.35">
      <c r="A46">
        <v>45</v>
      </c>
      <c r="B46" t="s">
        <v>96</v>
      </c>
      <c r="C46">
        <v>207</v>
      </c>
      <c r="D46" t="s">
        <v>58</v>
      </c>
      <c r="E46" t="s">
        <v>28</v>
      </c>
      <c r="F46" t="s">
        <v>29</v>
      </c>
      <c r="J46" s="1">
        <v>4037280.39</v>
      </c>
      <c r="P46" s="1">
        <v>4037280.39</v>
      </c>
      <c r="S46" s="1">
        <v>8074560.7800000003</v>
      </c>
      <c r="T46" t="s">
        <v>26</v>
      </c>
    </row>
    <row r="47" spans="1:20" x14ac:dyDescent="0.35">
      <c r="A47">
        <v>46</v>
      </c>
      <c r="B47" t="s">
        <v>97</v>
      </c>
      <c r="C47">
        <v>203</v>
      </c>
      <c r="D47" t="s">
        <v>43</v>
      </c>
      <c r="E47" t="s">
        <v>34</v>
      </c>
      <c r="F47" t="s">
        <v>37</v>
      </c>
      <c r="G47" s="1">
        <v>846000</v>
      </c>
      <c r="J47" s="1">
        <v>846000</v>
      </c>
      <c r="M47" s="1">
        <v>846000</v>
      </c>
      <c r="P47" s="1">
        <v>846000</v>
      </c>
      <c r="S47" s="1">
        <v>3384000</v>
      </c>
      <c r="T47" t="s">
        <v>50</v>
      </c>
    </row>
    <row r="48" spans="1:20" x14ac:dyDescent="0.35">
      <c r="A48">
        <v>47</v>
      </c>
      <c r="B48" t="s">
        <v>98</v>
      </c>
      <c r="C48">
        <v>203</v>
      </c>
      <c r="D48" t="s">
        <v>99</v>
      </c>
      <c r="E48" t="s">
        <v>44</v>
      </c>
      <c r="F48" t="s">
        <v>45</v>
      </c>
      <c r="G48" s="2">
        <v>3028500</v>
      </c>
      <c r="J48" s="2">
        <v>3028500</v>
      </c>
      <c r="M48" s="2">
        <v>3028500</v>
      </c>
      <c r="P48" s="2">
        <v>3028500</v>
      </c>
      <c r="S48" s="1">
        <v>12114000</v>
      </c>
      <c r="T48" t="s">
        <v>30</v>
      </c>
    </row>
    <row r="49" spans="1:20" x14ac:dyDescent="0.35">
      <c r="A49">
        <v>48</v>
      </c>
      <c r="B49" t="s">
        <v>100</v>
      </c>
      <c r="C49">
        <v>202</v>
      </c>
      <c r="D49" t="s">
        <v>23</v>
      </c>
      <c r="E49" t="s">
        <v>33</v>
      </c>
      <c r="F49" t="s">
        <v>34</v>
      </c>
      <c r="H49" s="2">
        <v>1500000</v>
      </c>
      <c r="K49" s="2">
        <v>1500000</v>
      </c>
      <c r="N49" s="2">
        <v>1500000</v>
      </c>
      <c r="Q49" s="2">
        <v>1500000</v>
      </c>
      <c r="S49" s="1">
        <v>6000000</v>
      </c>
      <c r="T49" t="s">
        <v>30</v>
      </c>
    </row>
    <row r="50" spans="1:20" x14ac:dyDescent="0.35">
      <c r="A50">
        <v>49</v>
      </c>
      <c r="B50" t="s">
        <v>101</v>
      </c>
      <c r="C50">
        <v>197</v>
      </c>
      <c r="D50" t="s">
        <v>58</v>
      </c>
      <c r="E50" t="s">
        <v>24</v>
      </c>
      <c r="F50" t="s">
        <v>25</v>
      </c>
      <c r="G50" s="1">
        <v>6281000</v>
      </c>
      <c r="M50" s="1">
        <v>6281000</v>
      </c>
      <c r="S50" s="1">
        <v>12562000</v>
      </c>
      <c r="T50" t="s">
        <v>50</v>
      </c>
    </row>
    <row r="51" spans="1:20" x14ac:dyDescent="0.35">
      <c r="A51">
        <v>50</v>
      </c>
      <c r="B51" t="s">
        <v>102</v>
      </c>
      <c r="C51">
        <v>196</v>
      </c>
      <c r="D51" t="s">
        <v>43</v>
      </c>
      <c r="E51" t="s">
        <v>38</v>
      </c>
      <c r="F51" t="s">
        <v>44</v>
      </c>
      <c r="H51" s="1">
        <v>1492500</v>
      </c>
      <c r="K51" s="1">
        <v>1492500</v>
      </c>
      <c r="N51" s="1">
        <v>1492500</v>
      </c>
      <c r="Q51" s="1">
        <v>1492500</v>
      </c>
      <c r="S51" s="1">
        <v>5970000</v>
      </c>
      <c r="T51" t="s">
        <v>50</v>
      </c>
    </row>
    <row r="52" spans="1:20" x14ac:dyDescent="0.35">
      <c r="A52">
        <v>51</v>
      </c>
      <c r="B52" t="s">
        <v>103</v>
      </c>
      <c r="C52">
        <v>195</v>
      </c>
      <c r="D52" t="s">
        <v>58</v>
      </c>
      <c r="E52" t="s">
        <v>28</v>
      </c>
      <c r="F52" t="s">
        <v>29</v>
      </c>
      <c r="J52" s="1">
        <v>1170000</v>
      </c>
      <c r="P52" s="2">
        <v>1170000</v>
      </c>
      <c r="S52" s="1">
        <v>2340000</v>
      </c>
      <c r="T52" t="s">
        <v>50</v>
      </c>
    </row>
    <row r="53" spans="1:20" x14ac:dyDescent="0.35">
      <c r="A53">
        <v>52</v>
      </c>
      <c r="B53" t="s">
        <v>104</v>
      </c>
      <c r="C53">
        <v>194</v>
      </c>
      <c r="D53" t="s">
        <v>47</v>
      </c>
      <c r="E53" t="s">
        <v>37</v>
      </c>
      <c r="F53" t="s">
        <v>38</v>
      </c>
      <c r="I53" s="1">
        <v>8422000</v>
      </c>
      <c r="S53" s="1">
        <v>8422000</v>
      </c>
      <c r="T53" t="s">
        <v>63</v>
      </c>
    </row>
    <row r="54" spans="1:20" x14ac:dyDescent="0.35">
      <c r="A54">
        <v>53</v>
      </c>
      <c r="B54" t="s">
        <v>105</v>
      </c>
      <c r="C54">
        <v>194</v>
      </c>
      <c r="D54" t="s">
        <v>32</v>
      </c>
      <c r="E54" t="s">
        <v>29</v>
      </c>
      <c r="F54" t="s">
        <v>24</v>
      </c>
      <c r="G54" s="1">
        <v>211250</v>
      </c>
      <c r="H54" s="1">
        <v>211250</v>
      </c>
      <c r="I54" s="1">
        <v>211250</v>
      </c>
      <c r="J54" s="1">
        <v>211250</v>
      </c>
      <c r="K54" s="1">
        <v>211250</v>
      </c>
      <c r="L54" s="1">
        <v>211250</v>
      </c>
      <c r="M54" s="1">
        <v>211250</v>
      </c>
      <c r="N54" s="1">
        <v>211250</v>
      </c>
      <c r="O54" s="1">
        <v>211250</v>
      </c>
      <c r="P54" s="1">
        <v>211250</v>
      </c>
      <c r="Q54" s="1">
        <v>211250</v>
      </c>
      <c r="R54" s="1">
        <v>211250</v>
      </c>
      <c r="S54" s="1">
        <v>2535000</v>
      </c>
      <c r="T54" t="s">
        <v>50</v>
      </c>
    </row>
    <row r="55" spans="1:20" x14ac:dyDescent="0.35">
      <c r="A55">
        <v>54</v>
      </c>
      <c r="B55" t="s">
        <v>106</v>
      </c>
      <c r="C55">
        <v>191</v>
      </c>
      <c r="D55" t="s">
        <v>58</v>
      </c>
      <c r="E55" t="s">
        <v>28</v>
      </c>
      <c r="F55" t="s">
        <v>29</v>
      </c>
      <c r="J55" s="1">
        <v>3913593.75</v>
      </c>
      <c r="P55" s="1">
        <v>3913593.75</v>
      </c>
      <c r="S55" s="1">
        <v>7827187.5</v>
      </c>
      <c r="T55" t="s">
        <v>26</v>
      </c>
    </row>
    <row r="56" spans="1:20" x14ac:dyDescent="0.35">
      <c r="A56">
        <v>55</v>
      </c>
      <c r="B56" t="s">
        <v>107</v>
      </c>
      <c r="C56">
        <v>188</v>
      </c>
      <c r="D56" t="s">
        <v>43</v>
      </c>
      <c r="E56" t="s">
        <v>38</v>
      </c>
      <c r="F56" t="s">
        <v>44</v>
      </c>
      <c r="H56" s="1">
        <v>1053125</v>
      </c>
      <c r="K56" s="1">
        <v>1053125</v>
      </c>
      <c r="N56" s="1">
        <v>1053125</v>
      </c>
      <c r="Q56" s="1">
        <v>1053215</v>
      </c>
      <c r="S56" s="1">
        <v>4212590</v>
      </c>
      <c r="T56" t="s">
        <v>61</v>
      </c>
    </row>
    <row r="57" spans="1:20" x14ac:dyDescent="0.35">
      <c r="A57">
        <v>56</v>
      </c>
      <c r="B57" t="s">
        <v>108</v>
      </c>
      <c r="C57">
        <v>185</v>
      </c>
      <c r="D57" t="s">
        <v>47</v>
      </c>
      <c r="E57" t="s">
        <v>44</v>
      </c>
      <c r="F57" t="s">
        <v>45</v>
      </c>
      <c r="G57" s="1">
        <v>4625000</v>
      </c>
      <c r="S57" s="1">
        <v>4625000</v>
      </c>
      <c r="T57" t="s">
        <v>50</v>
      </c>
    </row>
    <row r="58" spans="1:20" x14ac:dyDescent="0.35">
      <c r="A58">
        <v>57</v>
      </c>
      <c r="B58" t="s">
        <v>109</v>
      </c>
      <c r="C58">
        <v>180</v>
      </c>
      <c r="D58" t="s">
        <v>47</v>
      </c>
      <c r="E58" t="s">
        <v>38</v>
      </c>
      <c r="F58" t="s">
        <v>44</v>
      </c>
      <c r="H58" s="1">
        <v>14391000</v>
      </c>
      <c r="S58" s="1">
        <v>14391000</v>
      </c>
      <c r="T58" t="s">
        <v>63</v>
      </c>
    </row>
    <row r="59" spans="1:20" x14ac:dyDescent="0.35">
      <c r="A59">
        <v>58</v>
      </c>
      <c r="B59" t="s">
        <v>110</v>
      </c>
      <c r="C59">
        <v>180</v>
      </c>
      <c r="D59" t="s">
        <v>58</v>
      </c>
      <c r="E59" t="s">
        <v>24</v>
      </c>
      <c r="F59" t="s">
        <v>25</v>
      </c>
      <c r="G59" s="1">
        <v>3180000</v>
      </c>
      <c r="M59" s="1">
        <v>3180000</v>
      </c>
      <c r="S59" s="1">
        <v>6360000</v>
      </c>
      <c r="T59" t="s">
        <v>61</v>
      </c>
    </row>
    <row r="60" spans="1:20" x14ac:dyDescent="0.35">
      <c r="A60">
        <v>60</v>
      </c>
      <c r="B60" t="s">
        <v>112</v>
      </c>
      <c r="C60">
        <v>172</v>
      </c>
      <c r="D60" t="s">
        <v>58</v>
      </c>
      <c r="E60" t="s">
        <v>34</v>
      </c>
      <c r="F60" t="s">
        <v>37</v>
      </c>
      <c r="J60" s="1">
        <v>5200000</v>
      </c>
      <c r="P60" s="2">
        <v>5200000</v>
      </c>
      <c r="S60" s="1">
        <v>10400000</v>
      </c>
      <c r="T60" t="s">
        <v>39</v>
      </c>
    </row>
    <row r="61" spans="1:20" x14ac:dyDescent="0.35">
      <c r="A61">
        <v>61</v>
      </c>
      <c r="B61" t="s">
        <v>113</v>
      </c>
      <c r="C61">
        <v>169</v>
      </c>
      <c r="D61" t="s">
        <v>47</v>
      </c>
      <c r="E61" t="s">
        <v>29</v>
      </c>
      <c r="F61" t="s">
        <v>65</v>
      </c>
      <c r="O61" s="2">
        <v>7622701</v>
      </c>
      <c r="S61" s="1">
        <v>7622701</v>
      </c>
      <c r="T61" t="s">
        <v>30</v>
      </c>
    </row>
    <row r="62" spans="1:20" x14ac:dyDescent="0.35">
      <c r="A62">
        <v>62</v>
      </c>
      <c r="B62" t="s">
        <v>114</v>
      </c>
      <c r="C62">
        <v>168</v>
      </c>
      <c r="D62" t="s">
        <v>58</v>
      </c>
      <c r="E62" t="s">
        <v>28</v>
      </c>
      <c r="F62" t="s">
        <v>29</v>
      </c>
      <c r="J62" s="1">
        <v>3277500</v>
      </c>
      <c r="P62" s="1">
        <v>3277500</v>
      </c>
      <c r="S62" s="1">
        <v>6555000</v>
      </c>
      <c r="T62" t="s">
        <v>26</v>
      </c>
    </row>
    <row r="63" spans="1:20" x14ac:dyDescent="0.35">
      <c r="A63">
        <v>63</v>
      </c>
      <c r="B63" t="s">
        <v>115</v>
      </c>
      <c r="C63">
        <v>166</v>
      </c>
      <c r="D63" t="s">
        <v>58</v>
      </c>
      <c r="E63" t="s">
        <v>24</v>
      </c>
      <c r="F63" t="s">
        <v>25</v>
      </c>
      <c r="G63" s="1">
        <v>5089500</v>
      </c>
      <c r="M63" s="1">
        <v>5089500</v>
      </c>
      <c r="S63" s="1">
        <v>10179000</v>
      </c>
      <c r="T63" t="s">
        <v>50</v>
      </c>
    </row>
    <row r="64" spans="1:20" x14ac:dyDescent="0.35">
      <c r="A64">
        <v>64</v>
      </c>
      <c r="B64" t="s">
        <v>116</v>
      </c>
      <c r="C64">
        <v>165</v>
      </c>
      <c r="D64" t="s">
        <v>47</v>
      </c>
      <c r="E64" t="s">
        <v>38</v>
      </c>
      <c r="F64" t="s">
        <v>44</v>
      </c>
      <c r="H64" s="2">
        <v>8400000</v>
      </c>
      <c r="S64" s="1">
        <v>8400000</v>
      </c>
      <c r="T64" t="s">
        <v>30</v>
      </c>
    </row>
    <row r="65" spans="1:20" x14ac:dyDescent="0.35">
      <c r="A65">
        <v>65</v>
      </c>
      <c r="B65" t="s">
        <v>117</v>
      </c>
      <c r="C65">
        <v>165</v>
      </c>
      <c r="D65" t="s">
        <v>58</v>
      </c>
      <c r="E65" t="s">
        <v>24</v>
      </c>
      <c r="F65" t="s">
        <v>24</v>
      </c>
      <c r="G65" s="2">
        <v>3541000</v>
      </c>
      <c r="M65" s="2">
        <v>3541000</v>
      </c>
      <c r="S65" s="1">
        <v>7082000</v>
      </c>
      <c r="T65" t="s">
        <v>30</v>
      </c>
    </row>
    <row r="66" spans="1:20" x14ac:dyDescent="0.35">
      <c r="A66">
        <v>66</v>
      </c>
      <c r="B66" t="s">
        <v>118</v>
      </c>
      <c r="C66">
        <v>162</v>
      </c>
      <c r="D66" t="s">
        <v>23</v>
      </c>
      <c r="E66" t="s">
        <v>44</v>
      </c>
      <c r="F66" t="s">
        <v>45</v>
      </c>
      <c r="G66" s="1">
        <v>2101200</v>
      </c>
      <c r="J66" s="1">
        <v>1999200</v>
      </c>
      <c r="M66" s="1">
        <v>1999200</v>
      </c>
      <c r="P66" s="1">
        <v>1825800</v>
      </c>
      <c r="S66" s="1">
        <v>7925400</v>
      </c>
      <c r="T66" t="s">
        <v>94</v>
      </c>
    </row>
    <row r="67" spans="1:20" x14ac:dyDescent="0.35">
      <c r="A67">
        <v>67</v>
      </c>
      <c r="B67" t="s">
        <v>119</v>
      </c>
      <c r="C67">
        <v>160</v>
      </c>
      <c r="D67" t="s">
        <v>32</v>
      </c>
      <c r="E67" t="s">
        <v>37</v>
      </c>
      <c r="F67" t="s">
        <v>38</v>
      </c>
      <c r="I67" s="1">
        <v>500833.33</v>
      </c>
      <c r="J67" s="1">
        <v>500833.33</v>
      </c>
      <c r="K67" s="1">
        <v>500833.33</v>
      </c>
      <c r="L67" s="1">
        <v>500833.33</v>
      </c>
      <c r="M67" s="1">
        <v>500833.33</v>
      </c>
      <c r="N67" s="1">
        <v>500833.33</v>
      </c>
      <c r="O67" s="1">
        <v>500833.33</v>
      </c>
      <c r="P67" s="1">
        <v>500833.33</v>
      </c>
      <c r="Q67" s="1">
        <v>500833.33</v>
      </c>
      <c r="R67" s="1">
        <v>500833.33</v>
      </c>
      <c r="S67" s="1">
        <v>5008333.3</v>
      </c>
      <c r="T67" t="s">
        <v>39</v>
      </c>
    </row>
    <row r="68" spans="1:20" x14ac:dyDescent="0.35">
      <c r="A68">
        <v>68</v>
      </c>
      <c r="B68" t="s">
        <v>120</v>
      </c>
      <c r="C68">
        <v>159</v>
      </c>
      <c r="D68" t="s">
        <v>23</v>
      </c>
      <c r="E68" t="s">
        <v>54</v>
      </c>
      <c r="F68" t="s">
        <v>28</v>
      </c>
      <c r="H68" s="1">
        <v>3187500</v>
      </c>
      <c r="K68" s="1">
        <v>3187500</v>
      </c>
      <c r="N68" s="1">
        <v>3187500</v>
      </c>
      <c r="Q68" s="1">
        <v>3187500</v>
      </c>
      <c r="S68" s="1">
        <v>12750000</v>
      </c>
      <c r="T68" t="s">
        <v>63</v>
      </c>
    </row>
    <row r="69" spans="1:20" x14ac:dyDescent="0.35">
      <c r="A69">
        <v>69</v>
      </c>
      <c r="B69" t="s">
        <v>121</v>
      </c>
      <c r="C69">
        <v>158</v>
      </c>
      <c r="D69" t="s">
        <v>23</v>
      </c>
      <c r="E69" t="s">
        <v>37</v>
      </c>
      <c r="F69" t="s">
        <v>37</v>
      </c>
      <c r="I69" s="1">
        <v>1187500</v>
      </c>
      <c r="L69" s="1">
        <v>1187500</v>
      </c>
      <c r="O69" s="1">
        <v>1187500</v>
      </c>
      <c r="R69" s="1">
        <v>1187500</v>
      </c>
      <c r="S69" s="1">
        <v>4750000</v>
      </c>
      <c r="T69" t="s">
        <v>26</v>
      </c>
    </row>
    <row r="70" spans="1:20" x14ac:dyDescent="0.35">
      <c r="A70">
        <v>70</v>
      </c>
      <c r="B70" t="s">
        <v>122</v>
      </c>
      <c r="C70">
        <v>149</v>
      </c>
      <c r="D70" t="s">
        <v>23</v>
      </c>
      <c r="E70" t="s">
        <v>24</v>
      </c>
      <c r="F70" t="s">
        <v>25</v>
      </c>
      <c r="G70" s="1">
        <v>1900000</v>
      </c>
      <c r="J70" s="1">
        <v>1900000</v>
      </c>
      <c r="M70" s="1">
        <v>1900000</v>
      </c>
      <c r="P70" s="1">
        <v>1900000</v>
      </c>
      <c r="S70" s="1">
        <v>7600000</v>
      </c>
      <c r="T70" t="s">
        <v>26</v>
      </c>
    </row>
    <row r="71" spans="1:20" x14ac:dyDescent="0.35">
      <c r="A71">
        <v>71</v>
      </c>
      <c r="B71" t="s">
        <v>123</v>
      </c>
      <c r="C71">
        <v>146</v>
      </c>
      <c r="D71" t="s">
        <v>23</v>
      </c>
      <c r="E71" t="s">
        <v>37</v>
      </c>
      <c r="F71" t="s">
        <v>38</v>
      </c>
      <c r="I71" s="1">
        <v>2004000</v>
      </c>
      <c r="L71" s="1">
        <v>2004000</v>
      </c>
      <c r="O71" s="1">
        <v>2004000</v>
      </c>
      <c r="R71" s="1">
        <v>2004000</v>
      </c>
      <c r="S71" s="1">
        <v>8016000</v>
      </c>
      <c r="T71" t="s">
        <v>39</v>
      </c>
    </row>
    <row r="72" spans="1:20" x14ac:dyDescent="0.35">
      <c r="A72">
        <v>72</v>
      </c>
      <c r="B72" t="s">
        <v>124</v>
      </c>
      <c r="C72">
        <v>146</v>
      </c>
      <c r="D72" t="s">
        <v>43</v>
      </c>
      <c r="E72" t="s">
        <v>54</v>
      </c>
      <c r="F72" t="s">
        <v>28</v>
      </c>
      <c r="H72" s="1">
        <v>2625000</v>
      </c>
      <c r="K72" s="1">
        <v>2625000</v>
      </c>
      <c r="N72" s="1">
        <v>2625000</v>
      </c>
      <c r="Q72" s="1">
        <v>2625000</v>
      </c>
      <c r="S72" s="1">
        <v>10500000</v>
      </c>
      <c r="T72" t="s">
        <v>63</v>
      </c>
    </row>
    <row r="73" spans="1:20" x14ac:dyDescent="0.35">
      <c r="A73">
        <v>73</v>
      </c>
      <c r="B73" t="s">
        <v>125</v>
      </c>
      <c r="C73">
        <v>141</v>
      </c>
      <c r="D73" t="s">
        <v>71</v>
      </c>
      <c r="E73" t="s">
        <v>33</v>
      </c>
      <c r="F73" t="s">
        <v>34</v>
      </c>
      <c r="G73" s="2">
        <v>1672000</v>
      </c>
      <c r="K73" s="1">
        <v>1672000</v>
      </c>
      <c r="O73" s="1">
        <v>1672000</v>
      </c>
      <c r="S73" s="1">
        <v>5016000</v>
      </c>
      <c r="T73" t="s">
        <v>50</v>
      </c>
    </row>
    <row r="74" spans="1:20" x14ac:dyDescent="0.35">
      <c r="A74">
        <v>74</v>
      </c>
      <c r="B74" t="s">
        <v>126</v>
      </c>
      <c r="C74">
        <v>137</v>
      </c>
      <c r="D74" t="s">
        <v>32</v>
      </c>
      <c r="E74" t="s">
        <v>28</v>
      </c>
      <c r="F74" t="s">
        <v>29</v>
      </c>
      <c r="G74" s="1">
        <v>183000</v>
      </c>
      <c r="H74" s="1">
        <v>183000</v>
      </c>
      <c r="I74" s="1">
        <v>183000</v>
      </c>
      <c r="J74" s="1">
        <v>183000</v>
      </c>
      <c r="K74" s="1">
        <v>183000</v>
      </c>
      <c r="L74" s="1">
        <v>183000</v>
      </c>
      <c r="M74" s="1">
        <v>183000</v>
      </c>
      <c r="N74" s="1">
        <v>183000</v>
      </c>
      <c r="O74" s="1">
        <v>183000</v>
      </c>
      <c r="P74" s="1">
        <v>185000</v>
      </c>
      <c r="Q74" s="1">
        <v>183000</v>
      </c>
      <c r="R74" s="1">
        <v>183000</v>
      </c>
      <c r="S74" s="1">
        <v>2198000</v>
      </c>
      <c r="T74" t="s">
        <v>63</v>
      </c>
    </row>
    <row r="75" spans="1:20" x14ac:dyDescent="0.35">
      <c r="A75">
        <v>75</v>
      </c>
      <c r="B75" t="s">
        <v>127</v>
      </c>
      <c r="C75">
        <v>136</v>
      </c>
      <c r="D75" t="s">
        <v>58</v>
      </c>
      <c r="E75" t="s">
        <v>44</v>
      </c>
      <c r="F75" t="s">
        <v>45</v>
      </c>
      <c r="G75" s="1">
        <v>3097500</v>
      </c>
      <c r="L75" s="1">
        <v>3097500</v>
      </c>
      <c r="S75" s="1">
        <v>6195000</v>
      </c>
      <c r="T75" t="s">
        <v>50</v>
      </c>
    </row>
    <row r="76" spans="1:20" x14ac:dyDescent="0.35">
      <c r="A76">
        <v>76</v>
      </c>
      <c r="B76" t="s">
        <v>128</v>
      </c>
      <c r="C76">
        <v>134</v>
      </c>
      <c r="D76" t="s">
        <v>23</v>
      </c>
      <c r="E76" t="s">
        <v>34</v>
      </c>
      <c r="F76" t="s">
        <v>37</v>
      </c>
      <c r="G76" s="2">
        <v>2736250</v>
      </c>
      <c r="J76" s="2">
        <v>2736250</v>
      </c>
      <c r="M76" s="2">
        <v>2736250</v>
      </c>
      <c r="P76" s="2">
        <v>2736250</v>
      </c>
      <c r="S76" s="1">
        <v>10945000</v>
      </c>
      <c r="T76" t="s">
        <v>30</v>
      </c>
    </row>
    <row r="77" spans="1:20" x14ac:dyDescent="0.35">
      <c r="A77">
        <v>77</v>
      </c>
      <c r="B77" t="s">
        <v>129</v>
      </c>
      <c r="C77">
        <v>130</v>
      </c>
      <c r="D77" t="s">
        <v>32</v>
      </c>
      <c r="E77" t="s">
        <v>82</v>
      </c>
      <c r="F77" t="s">
        <v>24</v>
      </c>
      <c r="G77" s="1">
        <v>308156.25</v>
      </c>
      <c r="H77" s="1">
        <v>308156.25</v>
      </c>
      <c r="I77" s="1">
        <v>308156.25</v>
      </c>
      <c r="J77" s="1">
        <v>308156.25</v>
      </c>
      <c r="K77" s="1">
        <v>308156.25</v>
      </c>
      <c r="L77" s="1">
        <v>308156.25</v>
      </c>
      <c r="M77" s="1">
        <v>308156.25</v>
      </c>
      <c r="N77" s="1">
        <v>308156.25</v>
      </c>
      <c r="O77" s="1">
        <v>308156.25</v>
      </c>
      <c r="P77" s="1">
        <v>308156.25</v>
      </c>
      <c r="Q77" s="1">
        <v>308156.25</v>
      </c>
      <c r="R77" s="1">
        <v>308156.25</v>
      </c>
      <c r="S77" s="1">
        <v>3697875</v>
      </c>
      <c r="T77" t="s">
        <v>61</v>
      </c>
    </row>
    <row r="78" spans="1:20" x14ac:dyDescent="0.35">
      <c r="A78">
        <v>78</v>
      </c>
      <c r="B78" t="s">
        <v>130</v>
      </c>
      <c r="C78">
        <v>127</v>
      </c>
      <c r="D78" t="s">
        <v>58</v>
      </c>
      <c r="E78" t="s">
        <v>44</v>
      </c>
      <c r="F78" t="s">
        <v>45</v>
      </c>
      <c r="G78" s="2">
        <v>2128000</v>
      </c>
      <c r="M78" s="2">
        <v>2128000</v>
      </c>
      <c r="S78" s="1">
        <v>4256000</v>
      </c>
      <c r="T78" t="s">
        <v>30</v>
      </c>
    </row>
    <row r="79" spans="1:20" x14ac:dyDescent="0.35">
      <c r="A79">
        <v>79</v>
      </c>
      <c r="B79" t="s">
        <v>131</v>
      </c>
      <c r="C79">
        <v>125</v>
      </c>
      <c r="D79" t="s">
        <v>47</v>
      </c>
      <c r="E79" t="s">
        <v>44</v>
      </c>
      <c r="F79" t="s">
        <v>45</v>
      </c>
      <c r="G79" s="1">
        <v>6782348.2999999998</v>
      </c>
      <c r="S79" s="1">
        <v>6782348.2999999998</v>
      </c>
      <c r="T79" t="s">
        <v>26</v>
      </c>
    </row>
    <row r="80" spans="1:20" x14ac:dyDescent="0.35">
      <c r="A80">
        <v>80</v>
      </c>
      <c r="B80" t="s">
        <v>132</v>
      </c>
      <c r="C80">
        <v>125</v>
      </c>
      <c r="D80" t="s">
        <v>58</v>
      </c>
      <c r="E80" t="s">
        <v>28</v>
      </c>
      <c r="F80" t="s">
        <v>29</v>
      </c>
      <c r="J80" s="2">
        <v>3615000</v>
      </c>
      <c r="O80" s="2">
        <v>3615000</v>
      </c>
      <c r="S80" s="1">
        <v>7230000</v>
      </c>
      <c r="T80" t="s">
        <v>39</v>
      </c>
    </row>
    <row r="81" spans="1:20" x14ac:dyDescent="0.35">
      <c r="A81">
        <v>81</v>
      </c>
      <c r="B81" t="s">
        <v>133</v>
      </c>
      <c r="C81">
        <v>122</v>
      </c>
      <c r="D81" t="s">
        <v>58</v>
      </c>
      <c r="E81" t="s">
        <v>33</v>
      </c>
      <c r="F81" t="s">
        <v>34</v>
      </c>
      <c r="K81" s="1">
        <v>5182250</v>
      </c>
      <c r="Q81" s="1">
        <v>5182250</v>
      </c>
      <c r="S81" s="1">
        <v>10364500</v>
      </c>
      <c r="T81" t="s">
        <v>50</v>
      </c>
    </row>
    <row r="82" spans="1:20" x14ac:dyDescent="0.35">
      <c r="A82">
        <v>82</v>
      </c>
      <c r="B82" t="s">
        <v>134</v>
      </c>
      <c r="C82">
        <v>120</v>
      </c>
      <c r="D82" t="s">
        <v>71</v>
      </c>
      <c r="E82" t="s">
        <v>24</v>
      </c>
      <c r="F82" t="s">
        <v>25</v>
      </c>
      <c r="G82" s="1">
        <v>1600000</v>
      </c>
      <c r="J82" s="1">
        <v>1600000</v>
      </c>
      <c r="M82" s="1">
        <v>1600000</v>
      </c>
      <c r="P82" s="1">
        <v>1600000</v>
      </c>
      <c r="S82" s="1">
        <v>6400000</v>
      </c>
      <c r="T82" t="s">
        <v>50</v>
      </c>
    </row>
    <row r="83" spans="1:20" x14ac:dyDescent="0.35">
      <c r="A83">
        <v>83</v>
      </c>
      <c r="B83" t="s">
        <v>135</v>
      </c>
      <c r="C83">
        <v>116</v>
      </c>
      <c r="D83" t="s">
        <v>58</v>
      </c>
      <c r="E83" t="s">
        <v>44</v>
      </c>
      <c r="F83" t="s">
        <v>45</v>
      </c>
      <c r="G83" s="1">
        <v>3555900</v>
      </c>
      <c r="M83" s="1">
        <v>3555900</v>
      </c>
      <c r="S83" s="1">
        <v>7111800</v>
      </c>
      <c r="T83" t="s">
        <v>50</v>
      </c>
    </row>
    <row r="84" spans="1:20" x14ac:dyDescent="0.35">
      <c r="A84">
        <v>84</v>
      </c>
      <c r="B84" t="s">
        <v>136</v>
      </c>
      <c r="C84">
        <v>115</v>
      </c>
      <c r="D84" t="s">
        <v>23</v>
      </c>
      <c r="E84" t="s">
        <v>33</v>
      </c>
      <c r="F84" t="s">
        <v>34</v>
      </c>
      <c r="H84" s="2">
        <v>935000</v>
      </c>
      <c r="K84" s="2">
        <v>935000</v>
      </c>
      <c r="N84" s="2">
        <v>935000</v>
      </c>
      <c r="Q84" s="2">
        <v>935000</v>
      </c>
      <c r="S84" s="1">
        <v>3740000</v>
      </c>
      <c r="T84" t="s">
        <v>30</v>
      </c>
    </row>
    <row r="85" spans="1:20" x14ac:dyDescent="0.35">
      <c r="A85">
        <v>85</v>
      </c>
      <c r="B85" t="s">
        <v>137</v>
      </c>
      <c r="C85">
        <v>100</v>
      </c>
      <c r="D85" t="s">
        <v>23</v>
      </c>
      <c r="E85" t="s">
        <v>33</v>
      </c>
      <c r="F85" t="s">
        <v>34</v>
      </c>
      <c r="H85" s="1">
        <v>1000000</v>
      </c>
      <c r="K85" s="1">
        <v>1000000</v>
      </c>
      <c r="N85" s="1">
        <v>1000000</v>
      </c>
      <c r="Q85" s="1">
        <v>1000000</v>
      </c>
      <c r="S85" s="1">
        <v>4000000</v>
      </c>
      <c r="T85" t="s">
        <v>39</v>
      </c>
    </row>
    <row r="86" spans="1:20" x14ac:dyDescent="0.35">
      <c r="A86">
        <v>86</v>
      </c>
      <c r="B86" t="s">
        <v>138</v>
      </c>
      <c r="C86">
        <v>111</v>
      </c>
      <c r="D86" t="s">
        <v>47</v>
      </c>
      <c r="E86" t="s">
        <v>34</v>
      </c>
      <c r="F86" t="s">
        <v>37</v>
      </c>
      <c r="J86" s="1">
        <v>5489000</v>
      </c>
      <c r="S86" s="1">
        <v>5489000</v>
      </c>
      <c r="T86" t="s">
        <v>26</v>
      </c>
    </row>
    <row r="87" spans="1:20" x14ac:dyDescent="0.35">
      <c r="A87">
        <v>87</v>
      </c>
      <c r="B87" t="s">
        <v>139</v>
      </c>
      <c r="C87">
        <v>110</v>
      </c>
      <c r="D87" t="s">
        <v>71</v>
      </c>
      <c r="E87" t="s">
        <v>44</v>
      </c>
      <c r="F87" t="s">
        <v>45</v>
      </c>
      <c r="G87" s="1">
        <v>1333333.33</v>
      </c>
      <c r="K87" s="1">
        <v>1333333.33</v>
      </c>
      <c r="O87" s="1">
        <v>1333333.33</v>
      </c>
      <c r="S87" s="1">
        <v>3999999.99</v>
      </c>
      <c r="T87" t="s">
        <v>61</v>
      </c>
    </row>
    <row r="88" spans="1:20" x14ac:dyDescent="0.35">
      <c r="A88">
        <v>88</v>
      </c>
      <c r="B88" t="s">
        <v>140</v>
      </c>
      <c r="C88">
        <v>110</v>
      </c>
      <c r="D88" t="s">
        <v>58</v>
      </c>
      <c r="E88" t="s">
        <v>25</v>
      </c>
      <c r="F88" t="s">
        <v>33</v>
      </c>
      <c r="L88" s="1">
        <v>2640810</v>
      </c>
      <c r="R88" s="1">
        <v>2640810</v>
      </c>
      <c r="S88" s="1">
        <v>5281620</v>
      </c>
      <c r="T88" t="s">
        <v>61</v>
      </c>
    </row>
    <row r="89" spans="1:20" x14ac:dyDescent="0.35">
      <c r="A89">
        <v>89</v>
      </c>
      <c r="B89" t="s">
        <v>141</v>
      </c>
      <c r="C89">
        <v>103</v>
      </c>
      <c r="D89" t="s">
        <v>32</v>
      </c>
      <c r="E89" t="s">
        <v>44</v>
      </c>
      <c r="F89" t="s">
        <v>45</v>
      </c>
      <c r="G89" s="1">
        <v>837442.76</v>
      </c>
      <c r="H89" s="1">
        <v>792854.51</v>
      </c>
      <c r="I89" s="1">
        <v>1350387.51</v>
      </c>
      <c r="J89" s="1">
        <v>1350387.51</v>
      </c>
      <c r="K89" s="1">
        <v>678854.51</v>
      </c>
      <c r="L89" s="1">
        <v>1550146.27</v>
      </c>
      <c r="M89" s="1">
        <v>1514793.77</v>
      </c>
      <c r="N89" s="1">
        <v>1167815.45</v>
      </c>
      <c r="O89" s="1">
        <v>902597</v>
      </c>
      <c r="P89" s="1">
        <v>1063698.92</v>
      </c>
      <c r="Q89" s="1">
        <v>1063698.92</v>
      </c>
      <c r="R89" s="1">
        <v>1063698.92</v>
      </c>
      <c r="S89" s="1">
        <v>13336376.050000001</v>
      </c>
      <c r="T89" t="s">
        <v>94</v>
      </c>
    </row>
    <row r="90" spans="1:20" x14ac:dyDescent="0.35">
      <c r="A90">
        <v>91</v>
      </c>
      <c r="B90" t="s">
        <v>142</v>
      </c>
      <c r="C90">
        <v>94</v>
      </c>
      <c r="D90" t="s">
        <v>47</v>
      </c>
      <c r="E90" t="s">
        <v>44</v>
      </c>
      <c r="F90" t="s">
        <v>45</v>
      </c>
      <c r="G90" s="1">
        <v>4639000</v>
      </c>
      <c r="S90" s="1">
        <v>4639000</v>
      </c>
      <c r="T90" t="s">
        <v>26</v>
      </c>
    </row>
    <row r="91" spans="1:20" x14ac:dyDescent="0.35">
      <c r="A91">
        <v>92</v>
      </c>
      <c r="B91" t="s">
        <v>143</v>
      </c>
      <c r="C91">
        <v>92</v>
      </c>
      <c r="D91" t="s">
        <v>23</v>
      </c>
      <c r="E91" t="s">
        <v>54</v>
      </c>
      <c r="F91" t="s">
        <v>28</v>
      </c>
      <c r="H91" s="1">
        <v>5256944.43</v>
      </c>
      <c r="K91" s="1">
        <v>5256944.43</v>
      </c>
      <c r="N91" s="1">
        <v>5256944.43</v>
      </c>
      <c r="Q91" s="1">
        <v>6729166.6699999999</v>
      </c>
      <c r="S91" s="1">
        <v>22499999.960000001</v>
      </c>
      <c r="T91" t="s">
        <v>63</v>
      </c>
    </row>
    <row r="92" spans="1:20" x14ac:dyDescent="0.35">
      <c r="A92">
        <v>93</v>
      </c>
      <c r="B92" t="s">
        <v>144</v>
      </c>
      <c r="C92">
        <v>87</v>
      </c>
      <c r="D92" t="s">
        <v>145</v>
      </c>
      <c r="E92" t="s">
        <v>44</v>
      </c>
      <c r="F92" t="s">
        <v>45</v>
      </c>
      <c r="G92" s="2">
        <v>3460000</v>
      </c>
      <c r="S92" s="1">
        <v>3460000</v>
      </c>
      <c r="T92" t="s">
        <v>30</v>
      </c>
    </row>
    <row r="93" spans="1:20" x14ac:dyDescent="0.35">
      <c r="A93">
        <v>94</v>
      </c>
      <c r="B93" t="s">
        <v>146</v>
      </c>
      <c r="C93">
        <v>86</v>
      </c>
      <c r="D93" t="s">
        <v>43</v>
      </c>
      <c r="E93" t="s">
        <v>29</v>
      </c>
      <c r="F93" t="s">
        <v>65</v>
      </c>
      <c r="I93" s="1">
        <v>1164000</v>
      </c>
      <c r="L93" s="1">
        <v>1164000</v>
      </c>
      <c r="O93" s="1">
        <v>1640000</v>
      </c>
      <c r="R93" s="1">
        <v>1164000</v>
      </c>
      <c r="S93" s="1">
        <v>5132000</v>
      </c>
      <c r="T93" t="s">
        <v>61</v>
      </c>
    </row>
    <row r="94" spans="1:20" x14ac:dyDescent="0.35">
      <c r="A94">
        <v>95</v>
      </c>
      <c r="B94" t="s">
        <v>147</v>
      </c>
      <c r="C94">
        <v>82</v>
      </c>
      <c r="D94" t="s">
        <v>58</v>
      </c>
      <c r="E94" t="s">
        <v>44</v>
      </c>
      <c r="F94" t="s">
        <v>45</v>
      </c>
      <c r="G94" s="2">
        <v>1288000</v>
      </c>
      <c r="M94" s="2">
        <v>1288000</v>
      </c>
      <c r="S94" s="1">
        <v>2576000</v>
      </c>
      <c r="T94" t="s">
        <v>30</v>
      </c>
    </row>
    <row r="95" spans="1:20" x14ac:dyDescent="0.35">
      <c r="A95">
        <v>96</v>
      </c>
      <c r="B95" t="s">
        <v>148</v>
      </c>
      <c r="C95">
        <v>81</v>
      </c>
      <c r="D95" t="s">
        <v>47</v>
      </c>
      <c r="E95" t="s">
        <v>29</v>
      </c>
      <c r="F95" t="s">
        <v>65</v>
      </c>
      <c r="O95" s="1">
        <v>6220000</v>
      </c>
      <c r="S95" s="1">
        <v>6220000</v>
      </c>
      <c r="T95" t="s">
        <v>61</v>
      </c>
    </row>
    <row r="96" spans="1:20" x14ac:dyDescent="0.35">
      <c r="A96">
        <v>97</v>
      </c>
      <c r="B96" t="s">
        <v>149</v>
      </c>
      <c r="C96">
        <v>76</v>
      </c>
      <c r="D96" t="s">
        <v>47</v>
      </c>
      <c r="E96" t="s">
        <v>33</v>
      </c>
      <c r="F96" t="s">
        <v>34</v>
      </c>
      <c r="K96" s="1">
        <v>4980000</v>
      </c>
      <c r="O96" s="1">
        <v>60000</v>
      </c>
      <c r="Q96" s="1">
        <v>60000</v>
      </c>
      <c r="S96" s="1">
        <v>5100000</v>
      </c>
      <c r="T96" t="s">
        <v>63</v>
      </c>
    </row>
    <row r="97" spans="1:20" x14ac:dyDescent="0.35">
      <c r="A97">
        <v>98</v>
      </c>
      <c r="B97" t="s">
        <v>150</v>
      </c>
      <c r="C97">
        <v>74</v>
      </c>
      <c r="D97" t="s">
        <v>58</v>
      </c>
      <c r="E97" t="s">
        <v>37</v>
      </c>
      <c r="F97" t="s">
        <v>38</v>
      </c>
      <c r="I97" s="2">
        <v>1848000</v>
      </c>
      <c r="P97" s="2">
        <v>1848000</v>
      </c>
      <c r="S97" s="1">
        <v>3696000</v>
      </c>
      <c r="T97" t="s">
        <v>30</v>
      </c>
    </row>
    <row r="98" spans="1:20" x14ac:dyDescent="0.35">
      <c r="A98">
        <v>99</v>
      </c>
      <c r="B98" t="s">
        <v>151</v>
      </c>
      <c r="C98">
        <v>72</v>
      </c>
      <c r="D98" t="s">
        <v>71</v>
      </c>
      <c r="E98" t="s">
        <v>37</v>
      </c>
      <c r="F98" t="s">
        <v>38</v>
      </c>
      <c r="I98" s="1">
        <v>2000000</v>
      </c>
      <c r="M98" s="1">
        <v>2000000</v>
      </c>
      <c r="Q98" s="1">
        <v>1915000</v>
      </c>
      <c r="S98" s="1">
        <v>5915000</v>
      </c>
      <c r="T98" t="s">
        <v>61</v>
      </c>
    </row>
    <row r="99" spans="1:20" x14ac:dyDescent="0.35">
      <c r="A99">
        <v>100</v>
      </c>
      <c r="B99" t="s">
        <v>152</v>
      </c>
      <c r="C99">
        <v>71</v>
      </c>
      <c r="D99" t="s">
        <v>58</v>
      </c>
      <c r="E99" t="s">
        <v>24</v>
      </c>
      <c r="F99" t="s">
        <v>44</v>
      </c>
      <c r="G99" s="1">
        <v>2048000</v>
      </c>
      <c r="M99" s="1">
        <v>2048000</v>
      </c>
      <c r="S99" s="1">
        <v>4096000</v>
      </c>
      <c r="T99" t="s">
        <v>50</v>
      </c>
    </row>
    <row r="100" spans="1:20" x14ac:dyDescent="0.35">
      <c r="A100">
        <v>101</v>
      </c>
      <c r="B100" t="s">
        <v>153</v>
      </c>
      <c r="C100">
        <v>70</v>
      </c>
      <c r="D100" t="s">
        <v>43</v>
      </c>
      <c r="E100" t="s">
        <v>38</v>
      </c>
      <c r="F100" t="s">
        <v>44</v>
      </c>
      <c r="H100" s="1">
        <v>675000</v>
      </c>
      <c r="K100" s="1">
        <v>675000</v>
      </c>
      <c r="N100" s="1">
        <v>675000</v>
      </c>
      <c r="Q100" s="1">
        <v>675000</v>
      </c>
      <c r="S100" s="1">
        <v>2700000</v>
      </c>
      <c r="T100" t="s">
        <v>50</v>
      </c>
    </row>
    <row r="101" spans="1:20" x14ac:dyDescent="0.35">
      <c r="A101">
        <v>102</v>
      </c>
      <c r="B101" t="s">
        <v>154</v>
      </c>
      <c r="C101">
        <v>68</v>
      </c>
      <c r="D101" t="s">
        <v>58</v>
      </c>
      <c r="E101" t="s">
        <v>82</v>
      </c>
      <c r="F101" t="s">
        <v>24</v>
      </c>
      <c r="H101" s="1">
        <v>1400000</v>
      </c>
      <c r="N101" s="1">
        <v>1400000</v>
      </c>
      <c r="S101" s="1">
        <v>2800000</v>
      </c>
      <c r="T101" t="s">
        <v>50</v>
      </c>
    </row>
    <row r="102" spans="1:20" x14ac:dyDescent="0.35">
      <c r="A102">
        <v>103</v>
      </c>
      <c r="B102" t="s">
        <v>155</v>
      </c>
      <c r="C102">
        <v>67</v>
      </c>
      <c r="D102" t="s">
        <v>58</v>
      </c>
      <c r="E102" t="s">
        <v>28</v>
      </c>
      <c r="F102" t="s">
        <v>29</v>
      </c>
      <c r="K102" s="1">
        <v>719000</v>
      </c>
      <c r="P102" s="1">
        <v>2574000</v>
      </c>
      <c r="S102" s="1">
        <v>3293000</v>
      </c>
      <c r="T102" t="s">
        <v>39</v>
      </c>
    </row>
    <row r="103" spans="1:20" x14ac:dyDescent="0.35">
      <c r="A103">
        <v>104</v>
      </c>
      <c r="B103" t="s">
        <v>156</v>
      </c>
      <c r="C103">
        <v>67</v>
      </c>
      <c r="D103" t="s">
        <v>47</v>
      </c>
      <c r="E103" t="s">
        <v>54</v>
      </c>
      <c r="F103" t="s">
        <v>28</v>
      </c>
      <c r="Q103" s="1">
        <v>2940000</v>
      </c>
      <c r="S103" s="1">
        <v>2940000</v>
      </c>
      <c r="T103" t="s">
        <v>63</v>
      </c>
    </row>
    <row r="104" spans="1:20" x14ac:dyDescent="0.35">
      <c r="A104">
        <v>105</v>
      </c>
      <c r="B104" t="s">
        <v>157</v>
      </c>
      <c r="C104">
        <v>66</v>
      </c>
      <c r="D104" t="s">
        <v>43</v>
      </c>
      <c r="E104" t="s">
        <v>38</v>
      </c>
      <c r="F104" t="s">
        <v>44</v>
      </c>
      <c r="H104" s="1">
        <v>630000</v>
      </c>
      <c r="K104" s="1">
        <v>630000</v>
      </c>
      <c r="N104" s="1">
        <v>630000</v>
      </c>
      <c r="Q104" s="1">
        <v>630000</v>
      </c>
      <c r="S104" s="1">
        <v>2520000</v>
      </c>
      <c r="T104" t="s">
        <v>50</v>
      </c>
    </row>
    <row r="105" spans="1:20" x14ac:dyDescent="0.35">
      <c r="A105">
        <v>106</v>
      </c>
      <c r="B105" t="s">
        <v>158</v>
      </c>
      <c r="C105">
        <v>67</v>
      </c>
      <c r="D105" t="s">
        <v>47</v>
      </c>
      <c r="E105" t="s">
        <v>82</v>
      </c>
      <c r="F105" t="s">
        <v>24</v>
      </c>
      <c r="N105" s="1">
        <v>6700000</v>
      </c>
      <c r="S105" s="1">
        <v>6700000</v>
      </c>
      <c r="T105" t="s">
        <v>26</v>
      </c>
    </row>
    <row r="106" spans="1:20" x14ac:dyDescent="0.35">
      <c r="A106">
        <v>107</v>
      </c>
      <c r="B106" t="s">
        <v>159</v>
      </c>
      <c r="C106">
        <v>64</v>
      </c>
      <c r="D106" t="s">
        <v>43</v>
      </c>
      <c r="E106" t="s">
        <v>24</v>
      </c>
      <c r="F106" t="s">
        <v>25</v>
      </c>
      <c r="H106" s="1">
        <v>636500</v>
      </c>
      <c r="K106" s="1">
        <v>636500</v>
      </c>
      <c r="N106" s="1">
        <v>636500</v>
      </c>
      <c r="Q106" s="1">
        <v>636500</v>
      </c>
      <c r="S106" s="1">
        <v>2546000</v>
      </c>
      <c r="T106" t="s">
        <v>61</v>
      </c>
    </row>
    <row r="107" spans="1:20" x14ac:dyDescent="0.35">
      <c r="A107">
        <v>108</v>
      </c>
      <c r="B107" t="s">
        <v>160</v>
      </c>
      <c r="C107">
        <v>63</v>
      </c>
      <c r="D107" t="s">
        <v>58</v>
      </c>
      <c r="E107" t="s">
        <v>161</v>
      </c>
      <c r="F107" t="s">
        <v>37</v>
      </c>
      <c r="J107" s="1">
        <v>2819000</v>
      </c>
      <c r="Q107" s="1">
        <v>210000</v>
      </c>
      <c r="S107" s="1">
        <v>3029000</v>
      </c>
      <c r="T107" t="s">
        <v>63</v>
      </c>
    </row>
    <row r="108" spans="1:20" x14ac:dyDescent="0.35">
      <c r="A108">
        <v>109</v>
      </c>
      <c r="B108" t="s">
        <v>162</v>
      </c>
      <c r="C108">
        <v>63</v>
      </c>
      <c r="D108" t="s">
        <v>47</v>
      </c>
      <c r="E108" t="s">
        <v>25</v>
      </c>
      <c r="F108" t="s">
        <v>33</v>
      </c>
      <c r="L108" s="1">
        <v>2920000</v>
      </c>
      <c r="S108" s="1">
        <v>2920000</v>
      </c>
      <c r="T108" t="s">
        <v>26</v>
      </c>
    </row>
    <row r="109" spans="1:20" x14ac:dyDescent="0.35">
      <c r="A109">
        <v>110</v>
      </c>
      <c r="B109" t="s">
        <v>163</v>
      </c>
      <c r="C109">
        <v>62</v>
      </c>
      <c r="D109" t="s">
        <v>47</v>
      </c>
      <c r="E109" t="s">
        <v>37</v>
      </c>
      <c r="F109" t="s">
        <v>38</v>
      </c>
      <c r="I109" s="1">
        <v>3895161.78</v>
      </c>
      <c r="S109" s="1">
        <v>3895161.78</v>
      </c>
      <c r="T109" t="s">
        <v>50</v>
      </c>
    </row>
    <row r="110" spans="1:20" x14ac:dyDescent="0.35">
      <c r="A110">
        <v>111</v>
      </c>
      <c r="B110" t="s">
        <v>164</v>
      </c>
      <c r="C110">
        <v>61</v>
      </c>
      <c r="D110" t="s">
        <v>58</v>
      </c>
      <c r="E110" t="s">
        <v>82</v>
      </c>
      <c r="F110" t="s">
        <v>24</v>
      </c>
      <c r="H110" s="1">
        <v>3068500</v>
      </c>
      <c r="N110" s="1">
        <v>3068500</v>
      </c>
      <c r="S110" s="1">
        <v>6137000</v>
      </c>
      <c r="T110" t="s">
        <v>61</v>
      </c>
    </row>
    <row r="111" spans="1:20" x14ac:dyDescent="0.35">
      <c r="A111">
        <v>112</v>
      </c>
      <c r="B111" t="s">
        <v>165</v>
      </c>
      <c r="C111">
        <v>61</v>
      </c>
      <c r="D111" t="s">
        <v>58</v>
      </c>
      <c r="E111" t="s">
        <v>82</v>
      </c>
      <c r="F111" t="s">
        <v>24</v>
      </c>
      <c r="H111" s="1">
        <v>1400000</v>
      </c>
      <c r="N111" s="1">
        <v>1400000</v>
      </c>
      <c r="S111" s="1">
        <v>2800000</v>
      </c>
      <c r="T111" t="s">
        <v>61</v>
      </c>
    </row>
    <row r="112" spans="1:20" x14ac:dyDescent="0.35">
      <c r="A112">
        <v>113</v>
      </c>
      <c r="B112" t="s">
        <v>166</v>
      </c>
      <c r="C112">
        <v>60</v>
      </c>
      <c r="D112" t="s">
        <v>43</v>
      </c>
      <c r="E112" t="s">
        <v>38</v>
      </c>
      <c r="F112" t="s">
        <v>44</v>
      </c>
      <c r="H112" s="1">
        <v>555000</v>
      </c>
      <c r="K112" s="1">
        <v>555000</v>
      </c>
      <c r="N112" s="1">
        <v>555000</v>
      </c>
      <c r="Q112" s="1">
        <v>555000</v>
      </c>
      <c r="S112" s="1">
        <v>2220000</v>
      </c>
      <c r="T112" t="s">
        <v>50</v>
      </c>
    </row>
    <row r="113" spans="1:1024" x14ac:dyDescent="0.35">
      <c r="A113">
        <v>114</v>
      </c>
      <c r="B113" t="s">
        <v>167</v>
      </c>
      <c r="C113">
        <v>58</v>
      </c>
      <c r="D113" t="s">
        <v>47</v>
      </c>
      <c r="E113" t="s">
        <v>37</v>
      </c>
      <c r="F113" t="s">
        <v>38</v>
      </c>
      <c r="I113" s="2">
        <v>3072000</v>
      </c>
      <c r="S113" s="1">
        <v>3072000</v>
      </c>
      <c r="T113" t="s">
        <v>30</v>
      </c>
    </row>
    <row r="114" spans="1:1024" x14ac:dyDescent="0.35">
      <c r="A114">
        <v>115</v>
      </c>
      <c r="B114" t="s">
        <v>168</v>
      </c>
      <c r="C114">
        <v>56</v>
      </c>
      <c r="D114" t="s">
        <v>23</v>
      </c>
      <c r="E114" t="s">
        <v>38</v>
      </c>
      <c r="F114" t="s">
        <v>44</v>
      </c>
      <c r="H114" s="2">
        <v>660000</v>
      </c>
      <c r="K114" s="2">
        <v>660000</v>
      </c>
      <c r="N114" s="2">
        <v>660000</v>
      </c>
      <c r="Q114" s="2">
        <v>660000</v>
      </c>
      <c r="S114" s="1">
        <v>2640000</v>
      </c>
      <c r="T114" t="s">
        <v>30</v>
      </c>
    </row>
    <row r="115" spans="1:1024" x14ac:dyDescent="0.35">
      <c r="A115">
        <v>116</v>
      </c>
      <c r="B115" t="s">
        <v>169</v>
      </c>
      <c r="C115">
        <v>56</v>
      </c>
      <c r="D115" t="s">
        <v>47</v>
      </c>
      <c r="E115" t="s">
        <v>44</v>
      </c>
      <c r="F115" t="s">
        <v>45</v>
      </c>
      <c r="G115" s="1">
        <v>2307200</v>
      </c>
      <c r="S115" s="1">
        <v>2307200</v>
      </c>
      <c r="T115" t="s">
        <v>61</v>
      </c>
    </row>
    <row r="116" spans="1:1024" x14ac:dyDescent="0.35">
      <c r="A116">
        <v>117</v>
      </c>
      <c r="B116" t="s">
        <v>170</v>
      </c>
      <c r="C116">
        <v>56</v>
      </c>
      <c r="D116" t="s">
        <v>171</v>
      </c>
      <c r="E116" t="s">
        <v>172</v>
      </c>
      <c r="G116" s="1">
        <v>2056000</v>
      </c>
      <c r="S116" s="1">
        <v>2056000</v>
      </c>
      <c r="T116" t="s">
        <v>39</v>
      </c>
    </row>
    <row r="117" spans="1:1024" x14ac:dyDescent="0.35">
      <c r="A117">
        <v>118</v>
      </c>
      <c r="B117" t="s">
        <v>173</v>
      </c>
      <c r="C117">
        <v>56</v>
      </c>
      <c r="D117" t="s">
        <v>43</v>
      </c>
      <c r="E117" t="s">
        <v>37</v>
      </c>
      <c r="F117" t="s">
        <v>38</v>
      </c>
      <c r="I117" s="1">
        <v>450000</v>
      </c>
      <c r="L117" s="1">
        <v>450000</v>
      </c>
      <c r="O117" s="1">
        <v>450000</v>
      </c>
      <c r="R117" s="1">
        <v>450000</v>
      </c>
      <c r="S117" s="1">
        <v>1800000</v>
      </c>
      <c r="T117" t="s">
        <v>63</v>
      </c>
    </row>
    <row r="118" spans="1:1024" x14ac:dyDescent="0.35">
      <c r="A118">
        <v>119</v>
      </c>
      <c r="B118" t="s">
        <v>174</v>
      </c>
      <c r="C118">
        <v>55</v>
      </c>
      <c r="D118" t="s">
        <v>58</v>
      </c>
      <c r="E118" t="s">
        <v>37</v>
      </c>
      <c r="F118" t="s">
        <v>38</v>
      </c>
      <c r="I118" s="1">
        <v>1300000</v>
      </c>
      <c r="O118" s="1">
        <v>1300000</v>
      </c>
      <c r="S118" s="1">
        <v>2600000</v>
      </c>
      <c r="T118" t="s">
        <v>26</v>
      </c>
    </row>
    <row r="119" spans="1:1024" x14ac:dyDescent="0.35">
      <c r="A119">
        <v>120</v>
      </c>
      <c r="B119" t="s">
        <v>175</v>
      </c>
      <c r="C119">
        <v>55</v>
      </c>
      <c r="D119" t="s">
        <v>58</v>
      </c>
      <c r="E119" t="s">
        <v>38</v>
      </c>
      <c r="F119" t="s">
        <v>44</v>
      </c>
      <c r="H119" s="1">
        <v>1220000</v>
      </c>
      <c r="N119" s="1">
        <v>1220000</v>
      </c>
      <c r="S119" s="1">
        <v>2440000</v>
      </c>
      <c r="T119" t="s">
        <v>61</v>
      </c>
    </row>
    <row r="120" spans="1:1024" x14ac:dyDescent="0.35">
      <c r="A120">
        <v>121</v>
      </c>
      <c r="B120" t="s">
        <v>176</v>
      </c>
      <c r="C120">
        <v>54</v>
      </c>
      <c r="D120" t="s">
        <v>71</v>
      </c>
      <c r="E120" t="s">
        <v>38</v>
      </c>
      <c r="F120" t="s">
        <v>44</v>
      </c>
      <c r="H120" s="2">
        <v>787920</v>
      </c>
      <c r="L120" s="2">
        <v>787920</v>
      </c>
      <c r="P120" s="2">
        <v>787920</v>
      </c>
      <c r="S120" s="1">
        <v>2363760</v>
      </c>
      <c r="T120" t="s">
        <v>39</v>
      </c>
    </row>
    <row r="121" spans="1:1024" x14ac:dyDescent="0.35">
      <c r="A121">
        <v>122</v>
      </c>
      <c r="B121" t="s">
        <v>177</v>
      </c>
      <c r="C121">
        <v>54</v>
      </c>
      <c r="D121" t="s">
        <v>47</v>
      </c>
      <c r="E121" t="s">
        <v>29</v>
      </c>
      <c r="F121" t="s">
        <v>65</v>
      </c>
      <c r="O121" s="1">
        <v>3252000</v>
      </c>
      <c r="S121" s="1">
        <v>3252000</v>
      </c>
      <c r="T121" t="s">
        <v>50</v>
      </c>
    </row>
    <row r="122" spans="1:1024" x14ac:dyDescent="0.35">
      <c r="A122">
        <v>123</v>
      </c>
      <c r="B122" t="s">
        <v>178</v>
      </c>
      <c r="C122">
        <v>54</v>
      </c>
      <c r="D122" t="s">
        <v>58</v>
      </c>
      <c r="E122" t="s">
        <v>37</v>
      </c>
      <c r="F122" t="s">
        <v>38</v>
      </c>
      <c r="I122" s="1">
        <v>1348750</v>
      </c>
      <c r="O122" s="1">
        <v>1348750</v>
      </c>
      <c r="S122" s="1">
        <v>2697500</v>
      </c>
      <c r="T122" t="s">
        <v>61</v>
      </c>
    </row>
    <row r="123" spans="1:1024" x14ac:dyDescent="0.35">
      <c r="A123">
        <v>124</v>
      </c>
      <c r="B123" t="s">
        <v>179</v>
      </c>
      <c r="C123">
        <v>54</v>
      </c>
      <c r="D123" t="s">
        <v>58</v>
      </c>
      <c r="E123" t="s">
        <v>37</v>
      </c>
      <c r="F123" t="s">
        <v>38</v>
      </c>
      <c r="I123" s="1">
        <v>708000</v>
      </c>
      <c r="N123" s="1">
        <v>600000</v>
      </c>
      <c r="S123" s="1">
        <v>1308000</v>
      </c>
      <c r="T123" t="s">
        <v>39</v>
      </c>
    </row>
    <row r="124" spans="1:1024" x14ac:dyDescent="0.35">
      <c r="A124">
        <v>125</v>
      </c>
      <c r="B124" t="s">
        <v>180</v>
      </c>
      <c r="C124">
        <v>54</v>
      </c>
      <c r="D124" t="s">
        <v>47</v>
      </c>
      <c r="E124" t="s">
        <v>33</v>
      </c>
      <c r="F124" t="s">
        <v>34</v>
      </c>
      <c r="K124" s="1">
        <v>4039200</v>
      </c>
      <c r="S124" s="1">
        <v>4039200</v>
      </c>
      <c r="T124" t="s">
        <v>61</v>
      </c>
    </row>
    <row r="125" spans="1:1024" x14ac:dyDescent="0.35">
      <c r="A125">
        <v>126</v>
      </c>
      <c r="B125" t="s">
        <v>181</v>
      </c>
      <c r="C125">
        <v>54</v>
      </c>
      <c r="D125" t="s">
        <v>23</v>
      </c>
      <c r="E125" t="s">
        <v>29</v>
      </c>
      <c r="F125" t="s">
        <v>65</v>
      </c>
      <c r="I125" s="1">
        <v>1455775</v>
      </c>
      <c r="L125" s="1">
        <v>1455775</v>
      </c>
      <c r="O125" s="1">
        <v>1455775</v>
      </c>
      <c r="R125" s="1">
        <v>1455775</v>
      </c>
      <c r="S125" s="1">
        <v>5823100</v>
      </c>
      <c r="T125" t="s">
        <v>61</v>
      </c>
    </row>
    <row r="126" spans="1:1024" x14ac:dyDescent="0.35">
      <c r="A126">
        <v>127</v>
      </c>
      <c r="B126" t="s">
        <v>182</v>
      </c>
      <c r="C126">
        <v>53</v>
      </c>
      <c r="D126" t="s">
        <v>47</v>
      </c>
      <c r="E126" t="s">
        <v>25</v>
      </c>
      <c r="F126" t="s">
        <v>33</v>
      </c>
      <c r="L126" s="1">
        <v>3135000</v>
      </c>
      <c r="S126" s="1">
        <v>3135000</v>
      </c>
      <c r="T126" t="s">
        <v>61</v>
      </c>
    </row>
    <row r="127" spans="1:1024" x14ac:dyDescent="0.35">
      <c r="A127">
        <v>128</v>
      </c>
      <c r="B127" t="s">
        <v>183</v>
      </c>
      <c r="C127">
        <v>53</v>
      </c>
      <c r="D127" t="s">
        <v>47</v>
      </c>
      <c r="E127" t="s">
        <v>29</v>
      </c>
      <c r="F127" t="s">
        <v>65</v>
      </c>
      <c r="O127" s="1">
        <v>1858200</v>
      </c>
      <c r="S127" s="1">
        <v>1858200</v>
      </c>
      <c r="T127" t="s">
        <v>61</v>
      </c>
    </row>
    <row r="128" spans="1:1024" x14ac:dyDescent="0.35">
      <c r="A128">
        <v>129</v>
      </c>
      <c r="B128" t="s">
        <v>184</v>
      </c>
      <c r="C128">
        <v>53</v>
      </c>
      <c r="D128" t="s">
        <v>58</v>
      </c>
      <c r="E128" t="s">
        <v>37</v>
      </c>
      <c r="F128" t="s">
        <v>38</v>
      </c>
      <c r="I128" s="1">
        <v>1891402.5</v>
      </c>
      <c r="O128" s="1">
        <v>1891402.5</v>
      </c>
      <c r="S128" s="1">
        <v>3782805</v>
      </c>
      <c r="T128" t="s">
        <v>61</v>
      </c>
      <c r="AMJ128" t="s">
        <v>185</v>
      </c>
    </row>
    <row r="129" spans="1:20" x14ac:dyDescent="0.35">
      <c r="A129">
        <v>130</v>
      </c>
      <c r="B129" t="s">
        <v>186</v>
      </c>
      <c r="C129">
        <v>52</v>
      </c>
      <c r="D129" t="s">
        <v>23</v>
      </c>
      <c r="E129" t="s">
        <v>29</v>
      </c>
      <c r="F129" t="s">
        <v>65</v>
      </c>
      <c r="I129" s="1">
        <v>989000</v>
      </c>
      <c r="L129" s="1">
        <v>989000</v>
      </c>
      <c r="O129" s="1">
        <v>989000</v>
      </c>
      <c r="R129" s="1">
        <v>989000</v>
      </c>
      <c r="S129" s="1">
        <v>3956000</v>
      </c>
      <c r="T129" t="s">
        <v>39</v>
      </c>
    </row>
    <row r="130" spans="1:20" x14ac:dyDescent="0.35">
      <c r="A130">
        <v>131</v>
      </c>
      <c r="B130" t="s">
        <v>187</v>
      </c>
      <c r="C130">
        <v>51</v>
      </c>
      <c r="D130" t="s">
        <v>47</v>
      </c>
      <c r="E130" t="s">
        <v>24</v>
      </c>
      <c r="F130" t="s">
        <v>25</v>
      </c>
      <c r="M130" s="1">
        <v>2120000</v>
      </c>
      <c r="S130" s="1">
        <v>2120000</v>
      </c>
      <c r="T130" t="s">
        <v>26</v>
      </c>
    </row>
    <row r="131" spans="1:20" x14ac:dyDescent="0.35">
      <c r="A131">
        <v>132</v>
      </c>
      <c r="B131" t="s">
        <v>188</v>
      </c>
      <c r="C131">
        <v>51</v>
      </c>
      <c r="D131" t="s">
        <v>47</v>
      </c>
      <c r="E131" t="s">
        <v>25</v>
      </c>
      <c r="F131" t="s">
        <v>33</v>
      </c>
      <c r="L131" s="1">
        <v>5148000</v>
      </c>
      <c r="S131" s="1">
        <v>5148000</v>
      </c>
      <c r="T131" t="s">
        <v>94</v>
      </c>
    </row>
    <row r="132" spans="1:20" x14ac:dyDescent="0.35">
      <c r="A132">
        <v>133</v>
      </c>
      <c r="B132" t="s">
        <v>189</v>
      </c>
      <c r="C132">
        <v>51</v>
      </c>
      <c r="D132" t="s">
        <v>58</v>
      </c>
      <c r="E132" t="s">
        <v>45</v>
      </c>
      <c r="F132" t="s">
        <v>54</v>
      </c>
      <c r="L132" s="1">
        <v>1095000</v>
      </c>
      <c r="R132" s="1">
        <v>1095000</v>
      </c>
      <c r="S132" s="1">
        <v>2190000</v>
      </c>
      <c r="T132" t="s">
        <v>39</v>
      </c>
    </row>
    <row r="133" spans="1:20" x14ac:dyDescent="0.35">
      <c r="A133">
        <v>134</v>
      </c>
      <c r="B133" t="s">
        <v>190</v>
      </c>
      <c r="C133">
        <v>49</v>
      </c>
      <c r="D133" t="s">
        <v>47</v>
      </c>
      <c r="E133" t="s">
        <v>34</v>
      </c>
      <c r="F133" t="s">
        <v>37</v>
      </c>
      <c r="J133" s="1">
        <v>2940000</v>
      </c>
      <c r="Q133" s="1">
        <v>288000</v>
      </c>
      <c r="S133" s="1">
        <v>3228000</v>
      </c>
      <c r="T133" t="s">
        <v>63</v>
      </c>
    </row>
    <row r="134" spans="1:20" x14ac:dyDescent="0.35">
      <c r="A134">
        <v>135</v>
      </c>
      <c r="B134" t="s">
        <v>191</v>
      </c>
      <c r="C134">
        <v>48</v>
      </c>
      <c r="D134" t="s">
        <v>47</v>
      </c>
      <c r="E134" t="s">
        <v>34</v>
      </c>
      <c r="I134" s="1">
        <v>1440000</v>
      </c>
      <c r="S134" s="1">
        <v>1440000</v>
      </c>
      <c r="T134" t="s">
        <v>63</v>
      </c>
    </row>
    <row r="135" spans="1:20" x14ac:dyDescent="0.35">
      <c r="A135">
        <v>136</v>
      </c>
      <c r="B135" t="s">
        <v>192</v>
      </c>
      <c r="C135">
        <v>48</v>
      </c>
      <c r="D135" t="s">
        <v>47</v>
      </c>
      <c r="E135" t="s">
        <v>44</v>
      </c>
      <c r="F135" t="s">
        <v>45</v>
      </c>
      <c r="G135" s="1">
        <v>1900000</v>
      </c>
      <c r="S135" s="1">
        <v>1900000</v>
      </c>
      <c r="T135" t="s">
        <v>61</v>
      </c>
    </row>
    <row r="136" spans="1:20" x14ac:dyDescent="0.35">
      <c r="A136">
        <v>137</v>
      </c>
      <c r="B136" t="s">
        <v>193</v>
      </c>
      <c r="C136">
        <v>46</v>
      </c>
      <c r="D136" t="s">
        <v>47</v>
      </c>
      <c r="E136" t="s">
        <v>34</v>
      </c>
      <c r="F136" t="s">
        <v>37</v>
      </c>
      <c r="J136" s="1">
        <v>2450000</v>
      </c>
      <c r="S136" s="1">
        <v>2450000</v>
      </c>
      <c r="T136" t="s">
        <v>63</v>
      </c>
    </row>
    <row r="137" spans="1:20" x14ac:dyDescent="0.35">
      <c r="A137">
        <v>138</v>
      </c>
      <c r="B137" t="s">
        <v>194</v>
      </c>
      <c r="C137">
        <v>46</v>
      </c>
      <c r="D137" t="s">
        <v>23</v>
      </c>
      <c r="E137" t="s">
        <v>37</v>
      </c>
      <c r="F137" t="s">
        <v>38</v>
      </c>
      <c r="I137" s="1">
        <v>751650</v>
      </c>
      <c r="L137" s="1">
        <v>751650</v>
      </c>
      <c r="O137" s="1">
        <v>751650</v>
      </c>
      <c r="R137" s="1">
        <v>751650</v>
      </c>
      <c r="S137" s="1">
        <v>3006600</v>
      </c>
      <c r="T137" t="s">
        <v>61</v>
      </c>
    </row>
    <row r="138" spans="1:20" x14ac:dyDescent="0.35">
      <c r="A138">
        <v>139</v>
      </c>
      <c r="B138" t="s">
        <v>195</v>
      </c>
      <c r="C138">
        <v>46</v>
      </c>
      <c r="D138" t="s">
        <v>71</v>
      </c>
      <c r="E138" t="s">
        <v>33</v>
      </c>
      <c r="F138" t="s">
        <v>34</v>
      </c>
      <c r="G138" s="1">
        <v>784000</v>
      </c>
      <c r="K138" s="1">
        <v>784000</v>
      </c>
      <c r="O138" s="1">
        <v>784000</v>
      </c>
      <c r="S138" s="1">
        <v>2352000</v>
      </c>
      <c r="T138" t="s">
        <v>50</v>
      </c>
    </row>
    <row r="139" spans="1:20" x14ac:dyDescent="0.35">
      <c r="A139">
        <v>140</v>
      </c>
      <c r="B139" t="s">
        <v>196</v>
      </c>
      <c r="C139">
        <v>46</v>
      </c>
      <c r="D139" t="s">
        <v>47</v>
      </c>
      <c r="E139" t="s">
        <v>38</v>
      </c>
      <c r="F139" t="s">
        <v>44</v>
      </c>
      <c r="H139" s="1">
        <v>2291400</v>
      </c>
      <c r="S139" s="1">
        <v>2291400</v>
      </c>
      <c r="T139" t="s">
        <v>50</v>
      </c>
    </row>
    <row r="140" spans="1:20" x14ac:dyDescent="0.35">
      <c r="A140">
        <v>141</v>
      </c>
      <c r="B140" t="s">
        <v>197</v>
      </c>
      <c r="C140">
        <v>45</v>
      </c>
      <c r="D140" t="s">
        <v>43</v>
      </c>
      <c r="E140" t="s">
        <v>28</v>
      </c>
      <c r="F140" t="s">
        <v>29</v>
      </c>
      <c r="G140" s="1">
        <v>623401</v>
      </c>
      <c r="J140" s="1">
        <v>623401</v>
      </c>
      <c r="M140" s="2">
        <v>623401</v>
      </c>
      <c r="P140" s="2">
        <v>623401</v>
      </c>
      <c r="S140" s="1">
        <v>2493604</v>
      </c>
      <c r="T140" t="s">
        <v>39</v>
      </c>
    </row>
    <row r="141" spans="1:20" x14ac:dyDescent="0.35">
      <c r="A141">
        <v>142</v>
      </c>
      <c r="B141" t="s">
        <v>198</v>
      </c>
      <c r="C141">
        <v>45</v>
      </c>
      <c r="D141" t="s">
        <v>43</v>
      </c>
      <c r="E141" t="s">
        <v>38</v>
      </c>
      <c r="F141" t="s">
        <v>44</v>
      </c>
      <c r="H141" s="1">
        <v>435000</v>
      </c>
      <c r="K141" s="1">
        <v>435000</v>
      </c>
      <c r="N141" s="1">
        <v>435000</v>
      </c>
      <c r="Q141" s="1">
        <v>435000</v>
      </c>
      <c r="S141" s="1">
        <v>1740000</v>
      </c>
      <c r="T141" t="s">
        <v>50</v>
      </c>
    </row>
    <row r="142" spans="1:20" x14ac:dyDescent="0.35">
      <c r="A142">
        <v>143</v>
      </c>
      <c r="B142" t="s">
        <v>199</v>
      </c>
      <c r="C142">
        <v>45</v>
      </c>
      <c r="D142" t="s">
        <v>58</v>
      </c>
      <c r="E142" t="s">
        <v>28</v>
      </c>
      <c r="F142" t="s">
        <v>29</v>
      </c>
      <c r="J142" s="1">
        <v>1183000</v>
      </c>
      <c r="O142" s="1">
        <v>1183000</v>
      </c>
      <c r="S142" s="1">
        <v>2366000</v>
      </c>
      <c r="T142" t="s">
        <v>50</v>
      </c>
    </row>
    <row r="143" spans="1:20" x14ac:dyDescent="0.35">
      <c r="A143">
        <v>144</v>
      </c>
      <c r="B143" t="s">
        <v>200</v>
      </c>
      <c r="C143">
        <v>44</v>
      </c>
      <c r="D143" t="s">
        <v>47</v>
      </c>
      <c r="E143" t="s">
        <v>44</v>
      </c>
      <c r="F143" t="s">
        <v>45</v>
      </c>
      <c r="G143" s="1">
        <v>1920000</v>
      </c>
      <c r="K143" s="1">
        <v>79200</v>
      </c>
      <c r="S143" s="1">
        <v>1999200</v>
      </c>
      <c r="T143" t="s">
        <v>63</v>
      </c>
    </row>
    <row r="144" spans="1:20" x14ac:dyDescent="0.35">
      <c r="A144">
        <v>145</v>
      </c>
      <c r="B144" t="s">
        <v>201</v>
      </c>
      <c r="C144">
        <v>42</v>
      </c>
      <c r="D144" t="s">
        <v>47</v>
      </c>
      <c r="E144" t="s">
        <v>33</v>
      </c>
      <c r="F144" t="s">
        <v>34</v>
      </c>
      <c r="K144" s="1">
        <v>2405400</v>
      </c>
      <c r="S144" s="1">
        <v>2405400</v>
      </c>
      <c r="T144" t="s">
        <v>61</v>
      </c>
    </row>
    <row r="145" spans="1:20" x14ac:dyDescent="0.35">
      <c r="A145">
        <v>147</v>
      </c>
      <c r="B145" t="s">
        <v>202</v>
      </c>
      <c r="C145">
        <v>40</v>
      </c>
      <c r="D145" t="s">
        <v>47</v>
      </c>
      <c r="E145" t="s">
        <v>29</v>
      </c>
      <c r="F145" t="s">
        <v>65</v>
      </c>
      <c r="N145" s="2">
        <v>3250000</v>
      </c>
      <c r="S145" s="1">
        <v>3250000</v>
      </c>
      <c r="T145" t="s">
        <v>30</v>
      </c>
    </row>
    <row r="146" spans="1:20" x14ac:dyDescent="0.35">
      <c r="A146">
        <v>148</v>
      </c>
      <c r="B146" t="s">
        <v>203</v>
      </c>
      <c r="C146">
        <v>40</v>
      </c>
      <c r="D146" t="s">
        <v>71</v>
      </c>
      <c r="E146" t="s">
        <v>82</v>
      </c>
      <c r="F146" t="s">
        <v>24</v>
      </c>
      <c r="J146" s="1">
        <v>700000</v>
      </c>
      <c r="N146" s="1">
        <v>707560</v>
      </c>
      <c r="Q146" s="1">
        <v>715120</v>
      </c>
      <c r="S146" s="1">
        <v>2122680</v>
      </c>
      <c r="T146" t="s">
        <v>63</v>
      </c>
    </row>
    <row r="147" spans="1:20" x14ac:dyDescent="0.35">
      <c r="A147">
        <v>149</v>
      </c>
      <c r="B147" t="s">
        <v>204</v>
      </c>
      <c r="C147">
        <v>39</v>
      </c>
      <c r="D147" t="s">
        <v>47</v>
      </c>
      <c r="E147" t="s">
        <v>25</v>
      </c>
      <c r="F147" t="s">
        <v>33</v>
      </c>
      <c r="L147" s="1">
        <v>1200000</v>
      </c>
      <c r="S147" s="1">
        <v>1200000</v>
      </c>
      <c r="T147" t="s">
        <v>26</v>
      </c>
    </row>
    <row r="148" spans="1:20" x14ac:dyDescent="0.35">
      <c r="A148">
        <v>150</v>
      </c>
      <c r="B148" t="s">
        <v>205</v>
      </c>
      <c r="C148">
        <v>39</v>
      </c>
      <c r="D148" t="s">
        <v>58</v>
      </c>
      <c r="E148" t="s">
        <v>38</v>
      </c>
      <c r="F148" t="s">
        <v>44</v>
      </c>
      <c r="H148" s="1">
        <v>924000</v>
      </c>
      <c r="N148" s="1">
        <v>924000</v>
      </c>
      <c r="S148" s="1">
        <v>1848000</v>
      </c>
      <c r="T148" t="s">
        <v>50</v>
      </c>
    </row>
    <row r="149" spans="1:20" x14ac:dyDescent="0.35">
      <c r="A149">
        <v>151</v>
      </c>
      <c r="B149" t="s">
        <v>206</v>
      </c>
      <c r="C149">
        <v>39</v>
      </c>
      <c r="D149" t="s">
        <v>43</v>
      </c>
      <c r="E149" t="s">
        <v>38</v>
      </c>
      <c r="F149" t="s">
        <v>44</v>
      </c>
      <c r="H149" s="1">
        <v>406410</v>
      </c>
      <c r="K149" s="1">
        <v>406410</v>
      </c>
      <c r="N149" s="1">
        <v>406410</v>
      </c>
      <c r="Q149" s="1">
        <v>406410</v>
      </c>
      <c r="S149" s="1">
        <v>1625640</v>
      </c>
      <c r="T149" t="s">
        <v>50</v>
      </c>
    </row>
    <row r="150" spans="1:20" x14ac:dyDescent="0.35">
      <c r="A150">
        <v>152</v>
      </c>
      <c r="B150" t="s">
        <v>207</v>
      </c>
      <c r="C150">
        <v>38</v>
      </c>
      <c r="D150" t="s">
        <v>58</v>
      </c>
      <c r="E150" t="s">
        <v>37</v>
      </c>
      <c r="F150" t="s">
        <v>38</v>
      </c>
      <c r="I150" s="1">
        <v>1100000</v>
      </c>
      <c r="O150" s="1">
        <v>1100000</v>
      </c>
      <c r="S150" s="1">
        <v>2200000</v>
      </c>
      <c r="T150" t="s">
        <v>61</v>
      </c>
    </row>
    <row r="151" spans="1:20" x14ac:dyDescent="0.35">
      <c r="A151">
        <v>153</v>
      </c>
      <c r="B151" t="s">
        <v>208</v>
      </c>
      <c r="C151">
        <v>38</v>
      </c>
      <c r="D151" t="s">
        <v>47</v>
      </c>
      <c r="E151" t="s">
        <v>38</v>
      </c>
      <c r="F151" t="s">
        <v>44</v>
      </c>
      <c r="H151" s="1">
        <v>1230000</v>
      </c>
      <c r="S151" s="1">
        <v>1230000</v>
      </c>
      <c r="T151" t="s">
        <v>61</v>
      </c>
    </row>
    <row r="152" spans="1:20" x14ac:dyDescent="0.35">
      <c r="A152">
        <v>154</v>
      </c>
      <c r="B152" t="s">
        <v>209</v>
      </c>
      <c r="C152">
        <v>36</v>
      </c>
      <c r="D152" t="s">
        <v>58</v>
      </c>
      <c r="E152" t="s">
        <v>38</v>
      </c>
      <c r="F152" t="s">
        <v>44</v>
      </c>
      <c r="H152" s="1">
        <v>760375</v>
      </c>
      <c r="N152" s="1">
        <v>760375</v>
      </c>
      <c r="S152" s="1">
        <v>1520750</v>
      </c>
      <c r="T152" t="s">
        <v>61</v>
      </c>
    </row>
    <row r="153" spans="1:20" x14ac:dyDescent="0.35">
      <c r="A153">
        <v>155</v>
      </c>
      <c r="B153" t="s">
        <v>210</v>
      </c>
      <c r="C153">
        <v>36</v>
      </c>
      <c r="D153" t="s">
        <v>47</v>
      </c>
      <c r="E153" t="s">
        <v>82</v>
      </c>
      <c r="F153" t="s">
        <v>24</v>
      </c>
      <c r="N153" s="1">
        <v>2400000</v>
      </c>
      <c r="S153" s="1">
        <v>2400000</v>
      </c>
      <c r="T153" t="s">
        <v>50</v>
      </c>
    </row>
    <row r="154" spans="1:20" x14ac:dyDescent="0.35">
      <c r="A154">
        <v>156</v>
      </c>
      <c r="B154" t="s">
        <v>211</v>
      </c>
      <c r="C154">
        <v>36</v>
      </c>
      <c r="D154" t="s">
        <v>58</v>
      </c>
      <c r="E154" t="s">
        <v>25</v>
      </c>
      <c r="F154" t="s">
        <v>33</v>
      </c>
      <c r="L154" s="1">
        <v>1095500</v>
      </c>
      <c r="R154" s="1">
        <v>1095500</v>
      </c>
      <c r="S154" s="1">
        <v>2191000</v>
      </c>
      <c r="T154" t="s">
        <v>50</v>
      </c>
    </row>
    <row r="155" spans="1:20" x14ac:dyDescent="0.35">
      <c r="A155">
        <v>157</v>
      </c>
      <c r="B155" t="s">
        <v>212</v>
      </c>
      <c r="C155">
        <v>36</v>
      </c>
      <c r="D155" t="s">
        <v>71</v>
      </c>
      <c r="E155" t="s">
        <v>33</v>
      </c>
      <c r="F155" t="s">
        <v>34</v>
      </c>
      <c r="G155" s="1">
        <v>1003600</v>
      </c>
      <c r="K155" s="1">
        <v>1003600</v>
      </c>
      <c r="O155" s="1">
        <v>1003600</v>
      </c>
      <c r="S155" s="1">
        <v>3010800</v>
      </c>
      <c r="T155" t="s">
        <v>50</v>
      </c>
    </row>
    <row r="156" spans="1:20" x14ac:dyDescent="0.35">
      <c r="A156">
        <v>158</v>
      </c>
      <c r="B156" t="s">
        <v>213</v>
      </c>
      <c r="C156">
        <v>36</v>
      </c>
      <c r="D156" t="s">
        <v>23</v>
      </c>
      <c r="E156" t="s">
        <v>34</v>
      </c>
      <c r="F156" t="s">
        <v>33</v>
      </c>
      <c r="G156" s="1">
        <v>633750</v>
      </c>
      <c r="J156" s="1">
        <v>633750</v>
      </c>
      <c r="M156" s="1">
        <v>633750</v>
      </c>
      <c r="P156" s="1">
        <v>633750</v>
      </c>
      <c r="S156" s="1">
        <v>2535000</v>
      </c>
      <c r="T156" t="s">
        <v>61</v>
      </c>
    </row>
    <row r="157" spans="1:20" x14ac:dyDescent="0.35">
      <c r="A157">
        <v>159</v>
      </c>
      <c r="B157" t="s">
        <v>214</v>
      </c>
      <c r="C157">
        <v>35</v>
      </c>
      <c r="D157" t="s">
        <v>23</v>
      </c>
      <c r="E157" t="s">
        <v>82</v>
      </c>
      <c r="F157" t="s">
        <v>24</v>
      </c>
      <c r="H157" s="1">
        <v>826560</v>
      </c>
      <c r="K157" s="1">
        <v>826560</v>
      </c>
      <c r="N157" s="1">
        <v>826560</v>
      </c>
      <c r="Q157" s="1">
        <v>826560</v>
      </c>
      <c r="S157" s="1">
        <v>3306240</v>
      </c>
      <c r="T157" t="s">
        <v>50</v>
      </c>
    </row>
    <row r="158" spans="1:20" x14ac:dyDescent="0.35">
      <c r="A158">
        <v>160</v>
      </c>
      <c r="B158" t="s">
        <v>215</v>
      </c>
      <c r="C158">
        <v>35</v>
      </c>
      <c r="D158" t="s">
        <v>58</v>
      </c>
      <c r="E158" t="s">
        <v>82</v>
      </c>
      <c r="F158" t="s">
        <v>24</v>
      </c>
      <c r="H158" s="1">
        <v>623401</v>
      </c>
      <c r="N158" s="2">
        <v>623401</v>
      </c>
      <c r="S158" s="1">
        <v>1246802</v>
      </c>
      <c r="T158" t="s">
        <v>39</v>
      </c>
    </row>
    <row r="159" spans="1:20" x14ac:dyDescent="0.35">
      <c r="A159">
        <v>161</v>
      </c>
      <c r="B159" t="s">
        <v>216</v>
      </c>
      <c r="C159">
        <v>35</v>
      </c>
      <c r="D159" t="s">
        <v>47</v>
      </c>
      <c r="E159" t="s">
        <v>44</v>
      </c>
      <c r="F159" t="s">
        <v>45</v>
      </c>
      <c r="G159" s="1">
        <v>2244000</v>
      </c>
      <c r="S159" s="1">
        <v>2244000</v>
      </c>
      <c r="T159" t="s">
        <v>63</v>
      </c>
    </row>
    <row r="160" spans="1:20" x14ac:dyDescent="0.35">
      <c r="A160">
        <v>162</v>
      </c>
      <c r="B160" t="s">
        <v>217</v>
      </c>
      <c r="C160">
        <v>35</v>
      </c>
      <c r="D160" t="s">
        <v>58</v>
      </c>
      <c r="E160" t="s">
        <v>28</v>
      </c>
      <c r="F160" t="s">
        <v>29</v>
      </c>
      <c r="J160" s="1">
        <v>1281000</v>
      </c>
      <c r="P160" s="1">
        <v>1281000</v>
      </c>
      <c r="S160" s="1">
        <v>2562000</v>
      </c>
      <c r="T160" t="s">
        <v>50</v>
      </c>
    </row>
    <row r="161" spans="1:20" x14ac:dyDescent="0.35">
      <c r="A161">
        <v>163</v>
      </c>
      <c r="B161" t="s">
        <v>218</v>
      </c>
      <c r="C161">
        <v>34</v>
      </c>
      <c r="D161" t="s">
        <v>58</v>
      </c>
      <c r="E161" t="s">
        <v>25</v>
      </c>
      <c r="F161" t="s">
        <v>33</v>
      </c>
      <c r="L161" s="1">
        <v>712800</v>
      </c>
      <c r="R161" s="1">
        <v>712800</v>
      </c>
      <c r="S161" s="1">
        <v>1425600</v>
      </c>
      <c r="T161" t="s">
        <v>61</v>
      </c>
    </row>
    <row r="162" spans="1:20" x14ac:dyDescent="0.35">
      <c r="A162">
        <v>164</v>
      </c>
      <c r="B162" t="s">
        <v>219</v>
      </c>
      <c r="C162">
        <v>34</v>
      </c>
      <c r="D162" t="s">
        <v>47</v>
      </c>
      <c r="E162" t="s">
        <v>25</v>
      </c>
      <c r="F162" t="s">
        <v>25</v>
      </c>
      <c r="L162" s="1">
        <v>1372000</v>
      </c>
      <c r="S162" s="1">
        <v>1372000</v>
      </c>
      <c r="T162" t="s">
        <v>26</v>
      </c>
    </row>
    <row r="163" spans="1:20" x14ac:dyDescent="0.35">
      <c r="A163">
        <v>166</v>
      </c>
      <c r="B163" t="s">
        <v>220</v>
      </c>
      <c r="C163">
        <v>33</v>
      </c>
      <c r="D163" t="s">
        <v>58</v>
      </c>
      <c r="E163" t="s">
        <v>33</v>
      </c>
      <c r="F163" t="s">
        <v>34</v>
      </c>
      <c r="K163" s="1">
        <v>458000</v>
      </c>
      <c r="Q163" s="1">
        <v>458000</v>
      </c>
      <c r="S163" s="1">
        <v>916000</v>
      </c>
      <c r="T163" t="s">
        <v>39</v>
      </c>
    </row>
    <row r="164" spans="1:20" x14ac:dyDescent="0.35">
      <c r="A164">
        <v>167</v>
      </c>
      <c r="B164" t="s">
        <v>221</v>
      </c>
      <c r="C164">
        <v>33</v>
      </c>
      <c r="D164" t="s">
        <v>58</v>
      </c>
      <c r="E164" t="s">
        <v>82</v>
      </c>
      <c r="F164" t="s">
        <v>24</v>
      </c>
      <c r="H164" s="1">
        <v>1023000</v>
      </c>
      <c r="N164" s="1">
        <v>1023000</v>
      </c>
      <c r="S164" s="1">
        <v>2046000</v>
      </c>
      <c r="T164" t="s">
        <v>39</v>
      </c>
    </row>
    <row r="165" spans="1:20" x14ac:dyDescent="0.35">
      <c r="A165">
        <v>168</v>
      </c>
      <c r="B165" t="s">
        <v>222</v>
      </c>
      <c r="C165">
        <v>32</v>
      </c>
      <c r="D165" t="s">
        <v>58</v>
      </c>
      <c r="E165" t="s">
        <v>44</v>
      </c>
      <c r="F165" t="s">
        <v>45</v>
      </c>
      <c r="G165" s="1">
        <v>2287500</v>
      </c>
      <c r="M165" s="1">
        <v>1317500</v>
      </c>
      <c r="S165" s="1">
        <v>3605000</v>
      </c>
      <c r="T165" t="s">
        <v>63</v>
      </c>
    </row>
    <row r="166" spans="1:20" x14ac:dyDescent="0.35">
      <c r="A166">
        <v>169</v>
      </c>
      <c r="B166" t="s">
        <v>223</v>
      </c>
      <c r="C166">
        <v>32</v>
      </c>
      <c r="D166" t="s">
        <v>47</v>
      </c>
      <c r="E166" t="s">
        <v>44</v>
      </c>
      <c r="F166" t="s">
        <v>45</v>
      </c>
      <c r="G166" s="1">
        <v>1440000</v>
      </c>
      <c r="S166" s="1">
        <v>1440000</v>
      </c>
      <c r="T166" t="s">
        <v>30</v>
      </c>
    </row>
    <row r="167" spans="1:20" s="4" customFormat="1" x14ac:dyDescent="0.35">
      <c r="A167" s="4">
        <v>170</v>
      </c>
      <c r="B167" s="4" t="s">
        <v>224</v>
      </c>
      <c r="C167" s="4">
        <v>31</v>
      </c>
      <c r="D167" s="4" t="s">
        <v>47</v>
      </c>
      <c r="E167" s="4" t="s">
        <v>34</v>
      </c>
      <c r="F167" s="4" t="s">
        <v>37</v>
      </c>
      <c r="J167" s="6">
        <v>1322400</v>
      </c>
      <c r="S167" s="6">
        <v>1322400</v>
      </c>
    </row>
    <row r="168" spans="1:20" x14ac:dyDescent="0.35">
      <c r="A168">
        <v>171</v>
      </c>
      <c r="B168" t="s">
        <v>225</v>
      </c>
      <c r="C168">
        <v>30</v>
      </c>
      <c r="D168" t="s">
        <v>58</v>
      </c>
      <c r="E168" t="s">
        <v>24</v>
      </c>
      <c r="F168" t="s">
        <v>25</v>
      </c>
      <c r="G168" s="1">
        <v>742000</v>
      </c>
      <c r="M168" s="1">
        <v>742000</v>
      </c>
      <c r="S168" s="1">
        <v>1484000</v>
      </c>
      <c r="T168" t="s">
        <v>39</v>
      </c>
    </row>
    <row r="169" spans="1:20" x14ac:dyDescent="0.35">
      <c r="A169">
        <v>172</v>
      </c>
      <c r="B169" t="s">
        <v>226</v>
      </c>
      <c r="C169">
        <v>29</v>
      </c>
      <c r="D169" t="s">
        <v>47</v>
      </c>
      <c r="E169" t="s">
        <v>24</v>
      </c>
      <c r="F169" t="s">
        <v>25</v>
      </c>
      <c r="M169" s="5">
        <v>1102000</v>
      </c>
      <c r="S169" s="5">
        <v>1102000</v>
      </c>
    </row>
    <row r="170" spans="1:20" x14ac:dyDescent="0.35">
      <c r="A170">
        <v>173</v>
      </c>
      <c r="B170" t="s">
        <v>227</v>
      </c>
      <c r="C170">
        <v>29</v>
      </c>
      <c r="D170" t="s">
        <v>58</v>
      </c>
      <c r="E170" t="s">
        <v>24</v>
      </c>
      <c r="F170" t="s">
        <v>25</v>
      </c>
      <c r="G170" s="1">
        <v>920000</v>
      </c>
      <c r="M170" s="1">
        <v>920000</v>
      </c>
      <c r="S170" s="1">
        <v>1840000</v>
      </c>
      <c r="T170" t="s">
        <v>30</v>
      </c>
    </row>
    <row r="171" spans="1:20" x14ac:dyDescent="0.35">
      <c r="A171">
        <v>174</v>
      </c>
      <c r="B171" t="s">
        <v>228</v>
      </c>
      <c r="C171">
        <v>29</v>
      </c>
      <c r="D171" t="s">
        <v>71</v>
      </c>
      <c r="E171" t="s">
        <v>82</v>
      </c>
      <c r="F171" t="s">
        <v>24</v>
      </c>
      <c r="M171" s="1">
        <v>1304000</v>
      </c>
      <c r="Q171" s="1">
        <v>1304000</v>
      </c>
      <c r="S171" s="1">
        <v>2608000</v>
      </c>
      <c r="T171" t="s">
        <v>61</v>
      </c>
    </row>
    <row r="172" spans="1:20" x14ac:dyDescent="0.35">
      <c r="A172">
        <v>175</v>
      </c>
      <c r="B172" t="s">
        <v>229</v>
      </c>
      <c r="C172">
        <v>30</v>
      </c>
      <c r="D172" t="s">
        <v>47</v>
      </c>
      <c r="E172" t="s">
        <v>28</v>
      </c>
      <c r="F172" t="s">
        <v>29</v>
      </c>
      <c r="P172" s="1">
        <v>2416800</v>
      </c>
      <c r="S172" s="1">
        <v>2416800</v>
      </c>
      <c r="T172" t="s">
        <v>94</v>
      </c>
    </row>
    <row r="173" spans="1:20" x14ac:dyDescent="0.35">
      <c r="A173">
        <v>176</v>
      </c>
      <c r="B173" t="s">
        <v>230</v>
      </c>
      <c r="C173">
        <v>28</v>
      </c>
      <c r="D173" t="s">
        <v>47</v>
      </c>
      <c r="E173" t="s">
        <v>24</v>
      </c>
      <c r="F173" t="s">
        <v>25</v>
      </c>
      <c r="G173" s="1">
        <v>1146000</v>
      </c>
      <c r="S173" s="1">
        <v>1146000</v>
      </c>
      <c r="T173" t="s">
        <v>30</v>
      </c>
    </row>
    <row r="174" spans="1:20" x14ac:dyDescent="0.35">
      <c r="A174">
        <v>177</v>
      </c>
      <c r="B174" t="s">
        <v>231</v>
      </c>
      <c r="C174">
        <v>27</v>
      </c>
      <c r="D174" t="s">
        <v>47</v>
      </c>
      <c r="E174" t="s">
        <v>34</v>
      </c>
      <c r="F174" t="s">
        <v>37</v>
      </c>
      <c r="J174" s="1">
        <v>1215000</v>
      </c>
      <c r="S174" s="1">
        <v>1215000</v>
      </c>
      <c r="T174" t="s">
        <v>63</v>
      </c>
    </row>
    <row r="175" spans="1:20" x14ac:dyDescent="0.35">
      <c r="A175">
        <v>178</v>
      </c>
      <c r="B175" t="s">
        <v>232</v>
      </c>
      <c r="C175">
        <v>27</v>
      </c>
      <c r="D175" t="s">
        <v>47</v>
      </c>
      <c r="E175" t="s">
        <v>44</v>
      </c>
      <c r="F175" t="s">
        <v>45</v>
      </c>
      <c r="G175" s="1">
        <v>1736000</v>
      </c>
      <c r="S175" s="1">
        <v>1736000</v>
      </c>
      <c r="T175" t="s">
        <v>50</v>
      </c>
    </row>
    <row r="176" spans="1:20" x14ac:dyDescent="0.35">
      <c r="A176">
        <v>179</v>
      </c>
      <c r="B176" t="s">
        <v>233</v>
      </c>
      <c r="C176">
        <v>26</v>
      </c>
      <c r="D176" t="s">
        <v>47</v>
      </c>
      <c r="E176" t="s">
        <v>24</v>
      </c>
      <c r="F176" t="s">
        <v>25</v>
      </c>
      <c r="M176" s="1">
        <v>1500000</v>
      </c>
      <c r="S176" s="1">
        <v>1500000</v>
      </c>
      <c r="T176" t="s">
        <v>61</v>
      </c>
    </row>
    <row r="177" spans="1:20" x14ac:dyDescent="0.35">
      <c r="A177">
        <v>180</v>
      </c>
      <c r="B177" t="s">
        <v>234</v>
      </c>
      <c r="C177">
        <v>26</v>
      </c>
      <c r="D177" t="s">
        <v>58</v>
      </c>
      <c r="E177" t="s">
        <v>82</v>
      </c>
      <c r="F177" t="s">
        <v>24</v>
      </c>
      <c r="H177" s="1">
        <v>774000</v>
      </c>
      <c r="N177" s="1">
        <v>774000</v>
      </c>
      <c r="S177" s="1">
        <v>1548000</v>
      </c>
      <c r="T177" t="s">
        <v>50</v>
      </c>
    </row>
    <row r="178" spans="1:20" x14ac:dyDescent="0.35">
      <c r="A178">
        <v>181</v>
      </c>
      <c r="B178" t="s">
        <v>235</v>
      </c>
      <c r="C178">
        <v>26</v>
      </c>
      <c r="D178" t="s">
        <v>236</v>
      </c>
      <c r="E178" t="s">
        <v>28</v>
      </c>
      <c r="F178" t="s">
        <v>29</v>
      </c>
      <c r="H178" s="1">
        <v>300000</v>
      </c>
      <c r="J178" s="1">
        <v>300000</v>
      </c>
      <c r="L178" s="2">
        <v>300000</v>
      </c>
      <c r="N178" s="1">
        <v>194000</v>
      </c>
      <c r="P178" s="1">
        <v>300000</v>
      </c>
      <c r="S178" s="1">
        <v>1394000</v>
      </c>
      <c r="T178" t="s">
        <v>39</v>
      </c>
    </row>
    <row r="179" spans="1:20" x14ac:dyDescent="0.35">
      <c r="A179">
        <v>183</v>
      </c>
      <c r="B179" t="s">
        <v>237</v>
      </c>
      <c r="C179">
        <v>26</v>
      </c>
      <c r="D179" t="s">
        <v>47</v>
      </c>
      <c r="E179" t="s">
        <v>29</v>
      </c>
      <c r="F179" t="s">
        <v>65</v>
      </c>
      <c r="O179" s="1">
        <v>1596000</v>
      </c>
      <c r="S179" s="1">
        <v>1596000</v>
      </c>
      <c r="T179" t="s">
        <v>61</v>
      </c>
    </row>
    <row r="180" spans="1:20" x14ac:dyDescent="0.35">
      <c r="A180">
        <v>184</v>
      </c>
      <c r="B180" t="s">
        <v>238</v>
      </c>
      <c r="C180">
        <v>26</v>
      </c>
      <c r="D180" t="s">
        <v>58</v>
      </c>
      <c r="E180" t="s">
        <v>24</v>
      </c>
      <c r="F180" t="s">
        <v>25</v>
      </c>
      <c r="G180" s="1">
        <v>633840</v>
      </c>
      <c r="M180" s="1">
        <v>633840</v>
      </c>
      <c r="S180" s="1">
        <v>1267680</v>
      </c>
      <c r="T180" t="s">
        <v>61</v>
      </c>
    </row>
    <row r="181" spans="1:20" x14ac:dyDescent="0.35">
      <c r="A181">
        <v>185</v>
      </c>
      <c r="B181" t="s">
        <v>239</v>
      </c>
      <c r="C181">
        <v>25</v>
      </c>
      <c r="D181" t="s">
        <v>47</v>
      </c>
      <c r="E181" t="s">
        <v>28</v>
      </c>
      <c r="F181" t="s">
        <v>29</v>
      </c>
      <c r="P181" s="1">
        <v>834000</v>
      </c>
      <c r="S181" s="1">
        <v>834000</v>
      </c>
      <c r="T181" t="s">
        <v>39</v>
      </c>
    </row>
    <row r="182" spans="1:20" x14ac:dyDescent="0.35">
      <c r="A182">
        <v>186</v>
      </c>
      <c r="B182" t="s">
        <v>240</v>
      </c>
      <c r="C182">
        <v>25</v>
      </c>
      <c r="D182" t="s">
        <v>47</v>
      </c>
      <c r="E182" t="s">
        <v>33</v>
      </c>
      <c r="F182" t="s">
        <v>33</v>
      </c>
      <c r="K182" s="1">
        <v>750000</v>
      </c>
      <c r="S182" s="1">
        <v>750000</v>
      </c>
      <c r="T182" t="s">
        <v>26</v>
      </c>
    </row>
    <row r="183" spans="1:20" x14ac:dyDescent="0.35">
      <c r="A183">
        <v>187</v>
      </c>
      <c r="B183" t="s">
        <v>241</v>
      </c>
      <c r="C183">
        <v>25</v>
      </c>
      <c r="D183" t="s">
        <v>58</v>
      </c>
      <c r="E183" t="s">
        <v>28</v>
      </c>
      <c r="F183" t="s">
        <v>29</v>
      </c>
      <c r="J183" s="1">
        <v>1652800</v>
      </c>
      <c r="P183" s="1">
        <v>1652800</v>
      </c>
      <c r="S183" s="1">
        <v>3305600</v>
      </c>
      <c r="T183" t="s">
        <v>50</v>
      </c>
    </row>
    <row r="184" spans="1:20" x14ac:dyDescent="0.35">
      <c r="A184">
        <v>188</v>
      </c>
      <c r="B184" t="s">
        <v>242</v>
      </c>
      <c r="C184">
        <v>25</v>
      </c>
      <c r="D184" t="s">
        <v>47</v>
      </c>
      <c r="E184" t="s">
        <v>34</v>
      </c>
      <c r="F184" t="s">
        <v>37</v>
      </c>
      <c r="J184" s="1">
        <v>2972000</v>
      </c>
      <c r="S184" s="1">
        <v>2972000</v>
      </c>
      <c r="T184" t="s">
        <v>50</v>
      </c>
    </row>
    <row r="185" spans="1:20" x14ac:dyDescent="0.35">
      <c r="A185">
        <v>189</v>
      </c>
      <c r="B185" t="s">
        <v>243</v>
      </c>
      <c r="C185">
        <v>25</v>
      </c>
      <c r="D185" t="s">
        <v>47</v>
      </c>
      <c r="E185" t="s">
        <v>25</v>
      </c>
      <c r="F185" t="s">
        <v>33</v>
      </c>
      <c r="L185" s="1">
        <v>1421200</v>
      </c>
      <c r="S185" s="1">
        <v>1421200</v>
      </c>
      <c r="T185" t="s">
        <v>61</v>
      </c>
    </row>
    <row r="186" spans="1:20" x14ac:dyDescent="0.35">
      <c r="A186">
        <v>190</v>
      </c>
      <c r="B186" t="s">
        <v>244</v>
      </c>
      <c r="C186">
        <v>25</v>
      </c>
      <c r="D186" t="s">
        <v>47</v>
      </c>
      <c r="E186" t="s">
        <v>44</v>
      </c>
      <c r="F186" t="s">
        <v>45</v>
      </c>
      <c r="G186" s="2">
        <v>1188000</v>
      </c>
      <c r="S186" s="1">
        <v>1188000</v>
      </c>
      <c r="T186" t="s">
        <v>30</v>
      </c>
    </row>
    <row r="187" spans="1:20" x14ac:dyDescent="0.35">
      <c r="A187">
        <v>191</v>
      </c>
      <c r="B187" t="s">
        <v>245</v>
      </c>
      <c r="C187">
        <v>25</v>
      </c>
      <c r="D187" t="s">
        <v>71</v>
      </c>
      <c r="E187" t="s">
        <v>28</v>
      </c>
      <c r="F187" t="s">
        <v>29</v>
      </c>
      <c r="H187" s="1">
        <v>1198000</v>
      </c>
      <c r="L187" s="1">
        <v>1198000</v>
      </c>
      <c r="P187" s="1">
        <v>1198000</v>
      </c>
      <c r="S187" s="1">
        <v>3594000</v>
      </c>
      <c r="T187" t="s">
        <v>94</v>
      </c>
    </row>
    <row r="188" spans="1:20" x14ac:dyDescent="0.35">
      <c r="A188">
        <v>192</v>
      </c>
      <c r="B188" t="s">
        <v>246</v>
      </c>
      <c r="C188">
        <v>34</v>
      </c>
      <c r="D188" t="s">
        <v>47</v>
      </c>
      <c r="E188" t="s">
        <v>54</v>
      </c>
      <c r="F188" t="s">
        <v>28</v>
      </c>
      <c r="Q188" s="1">
        <v>2816000</v>
      </c>
      <c r="S188" s="1">
        <v>2816000</v>
      </c>
      <c r="T188" t="s">
        <v>63</v>
      </c>
    </row>
    <row r="189" spans="1:20" x14ac:dyDescent="0.35">
      <c r="A189">
        <v>193</v>
      </c>
      <c r="B189" t="s">
        <v>247</v>
      </c>
      <c r="C189">
        <v>24</v>
      </c>
      <c r="D189" t="s">
        <v>58</v>
      </c>
      <c r="E189" t="s">
        <v>44</v>
      </c>
      <c r="F189" t="s">
        <v>45</v>
      </c>
      <c r="G189" s="1">
        <v>792000</v>
      </c>
      <c r="M189" s="1">
        <v>792000</v>
      </c>
      <c r="S189" s="1">
        <v>1584000</v>
      </c>
      <c r="T189" t="s">
        <v>61</v>
      </c>
    </row>
    <row r="190" spans="1:20" x14ac:dyDescent="0.35">
      <c r="A190">
        <v>194</v>
      </c>
      <c r="B190" t="s">
        <v>248</v>
      </c>
      <c r="C190">
        <v>24</v>
      </c>
      <c r="D190" t="s">
        <v>58</v>
      </c>
      <c r="E190" t="s">
        <v>37</v>
      </c>
      <c r="F190" t="s">
        <v>38</v>
      </c>
      <c r="I190" s="1">
        <v>750000</v>
      </c>
      <c r="O190" s="1">
        <v>750000</v>
      </c>
      <c r="S190" s="1">
        <v>1500000</v>
      </c>
      <c r="T190" t="s">
        <v>50</v>
      </c>
    </row>
    <row r="191" spans="1:20" x14ac:dyDescent="0.35">
      <c r="A191">
        <v>195</v>
      </c>
      <c r="B191" t="s">
        <v>249</v>
      </c>
      <c r="C191">
        <v>23</v>
      </c>
      <c r="D191" t="s">
        <v>47</v>
      </c>
      <c r="E191" t="s">
        <v>38</v>
      </c>
      <c r="F191" t="s">
        <v>44</v>
      </c>
      <c r="H191" s="1">
        <v>1150000</v>
      </c>
      <c r="S191" s="1">
        <v>1150000</v>
      </c>
      <c r="T191" t="s">
        <v>30</v>
      </c>
    </row>
    <row r="192" spans="1:20" x14ac:dyDescent="0.35">
      <c r="A192">
        <v>196</v>
      </c>
      <c r="B192" t="s">
        <v>250</v>
      </c>
      <c r="C192">
        <v>23</v>
      </c>
      <c r="D192" t="s">
        <v>43</v>
      </c>
      <c r="E192" t="s">
        <v>38</v>
      </c>
      <c r="F192" t="s">
        <v>44</v>
      </c>
      <c r="H192" s="1">
        <v>135000</v>
      </c>
      <c r="K192" s="1">
        <v>135000</v>
      </c>
      <c r="N192" s="1">
        <v>135000</v>
      </c>
      <c r="Q192" s="1">
        <v>135000</v>
      </c>
      <c r="S192" s="1">
        <v>540000</v>
      </c>
      <c r="T192" t="s">
        <v>50</v>
      </c>
    </row>
    <row r="193" spans="1:20" x14ac:dyDescent="0.35">
      <c r="A193">
        <v>197</v>
      </c>
      <c r="B193" t="s">
        <v>251</v>
      </c>
      <c r="C193">
        <v>23</v>
      </c>
      <c r="D193" t="s">
        <v>47</v>
      </c>
      <c r="E193" t="s">
        <v>54</v>
      </c>
      <c r="F193" t="s">
        <v>28</v>
      </c>
      <c r="Q193" s="1">
        <v>1737500</v>
      </c>
      <c r="S193" s="1">
        <v>1737500</v>
      </c>
      <c r="T193" t="s">
        <v>61</v>
      </c>
    </row>
    <row r="194" spans="1:20" x14ac:dyDescent="0.35">
      <c r="A194">
        <v>198</v>
      </c>
      <c r="B194" t="s">
        <v>252</v>
      </c>
      <c r="C194">
        <v>22</v>
      </c>
      <c r="D194" t="s">
        <v>47</v>
      </c>
      <c r="E194" t="s">
        <v>82</v>
      </c>
      <c r="F194" t="s">
        <v>24</v>
      </c>
      <c r="N194" s="1">
        <v>1555000</v>
      </c>
      <c r="S194" s="1">
        <v>1555000</v>
      </c>
      <c r="T194" t="s">
        <v>30</v>
      </c>
    </row>
    <row r="195" spans="1:20" x14ac:dyDescent="0.35">
      <c r="A195">
        <v>199</v>
      </c>
      <c r="B195" t="s">
        <v>253</v>
      </c>
      <c r="C195">
        <v>22</v>
      </c>
      <c r="D195" t="s">
        <v>47</v>
      </c>
      <c r="E195" t="s">
        <v>28</v>
      </c>
      <c r="F195" t="s">
        <v>29</v>
      </c>
      <c r="P195" s="1">
        <v>1231200</v>
      </c>
      <c r="S195" s="1">
        <v>1231200</v>
      </c>
      <c r="T195" t="s">
        <v>61</v>
      </c>
    </row>
    <row r="196" spans="1:20" x14ac:dyDescent="0.35">
      <c r="A196">
        <v>200</v>
      </c>
      <c r="B196" t="s">
        <v>254</v>
      </c>
      <c r="C196">
        <v>22</v>
      </c>
      <c r="D196" t="s">
        <v>47</v>
      </c>
      <c r="E196" t="s">
        <v>38</v>
      </c>
      <c r="F196" t="s">
        <v>44</v>
      </c>
      <c r="H196" s="1">
        <v>2114500</v>
      </c>
      <c r="S196" s="1">
        <v>2114500</v>
      </c>
      <c r="T196" t="s">
        <v>61</v>
      </c>
    </row>
    <row r="197" spans="1:20" x14ac:dyDescent="0.35">
      <c r="A197">
        <v>202</v>
      </c>
      <c r="B197" t="s">
        <v>255</v>
      </c>
      <c r="C197">
        <v>9</v>
      </c>
      <c r="D197" t="s">
        <v>47</v>
      </c>
      <c r="E197" t="s">
        <v>44</v>
      </c>
      <c r="F197" t="s">
        <v>45</v>
      </c>
      <c r="G197" s="1">
        <v>450000</v>
      </c>
      <c r="S197" s="1">
        <v>450000</v>
      </c>
      <c r="T197" t="s">
        <v>94</v>
      </c>
    </row>
    <row r="198" spans="1:20" x14ac:dyDescent="0.35">
      <c r="A198">
        <v>203</v>
      </c>
      <c r="B198" t="s">
        <v>256</v>
      </c>
      <c r="C198">
        <v>21</v>
      </c>
      <c r="D198" t="s">
        <v>47</v>
      </c>
      <c r="E198" t="s">
        <v>37</v>
      </c>
      <c r="F198" t="s">
        <v>38</v>
      </c>
      <c r="I198" s="1">
        <v>909000</v>
      </c>
      <c r="S198" s="1">
        <v>909000</v>
      </c>
      <c r="T198" t="s">
        <v>50</v>
      </c>
    </row>
    <row r="199" spans="1:20" x14ac:dyDescent="0.35">
      <c r="A199">
        <v>204</v>
      </c>
      <c r="B199" t="s">
        <v>257</v>
      </c>
      <c r="C199">
        <v>20</v>
      </c>
      <c r="D199" t="s">
        <v>47</v>
      </c>
      <c r="E199" t="s">
        <v>33</v>
      </c>
      <c r="F199" t="s">
        <v>34</v>
      </c>
      <c r="K199" s="1">
        <v>2559000</v>
      </c>
      <c r="S199" s="1">
        <v>2559000</v>
      </c>
      <c r="T199" t="s">
        <v>84</v>
      </c>
    </row>
    <row r="200" spans="1:20" x14ac:dyDescent="0.35">
      <c r="A200">
        <v>205</v>
      </c>
      <c r="B200" t="s">
        <v>258</v>
      </c>
      <c r="C200">
        <v>21</v>
      </c>
      <c r="D200" t="s">
        <v>71</v>
      </c>
      <c r="E200" t="s">
        <v>38</v>
      </c>
      <c r="F200" t="s">
        <v>44</v>
      </c>
      <c r="H200" s="1">
        <v>303000</v>
      </c>
      <c r="L200" s="1">
        <v>303000</v>
      </c>
      <c r="P200" s="1">
        <v>303000</v>
      </c>
      <c r="S200" s="1">
        <v>909000</v>
      </c>
      <c r="T200" t="s">
        <v>50</v>
      </c>
    </row>
    <row r="201" spans="1:20" x14ac:dyDescent="0.35">
      <c r="A201">
        <v>206</v>
      </c>
      <c r="B201" t="s">
        <v>259</v>
      </c>
      <c r="C201">
        <v>20</v>
      </c>
      <c r="D201" t="s">
        <v>58</v>
      </c>
      <c r="E201" t="s">
        <v>82</v>
      </c>
      <c r="F201" t="s">
        <v>24</v>
      </c>
      <c r="N201" s="2">
        <v>520000</v>
      </c>
      <c r="S201" s="1">
        <v>520000</v>
      </c>
      <c r="T201" t="s">
        <v>84</v>
      </c>
    </row>
    <row r="202" spans="1:20" x14ac:dyDescent="0.35">
      <c r="A202">
        <v>207</v>
      </c>
      <c r="B202" t="s">
        <v>260</v>
      </c>
      <c r="C202">
        <v>20</v>
      </c>
      <c r="D202" t="s">
        <v>47</v>
      </c>
      <c r="E202" t="s">
        <v>29</v>
      </c>
      <c r="F202" t="s">
        <v>65</v>
      </c>
      <c r="O202" s="1">
        <v>1336800</v>
      </c>
      <c r="S202" s="1">
        <v>1336800</v>
      </c>
      <c r="T202" t="s">
        <v>26</v>
      </c>
    </row>
    <row r="203" spans="1:20" x14ac:dyDescent="0.35">
      <c r="A203">
        <v>208</v>
      </c>
      <c r="B203" t="s">
        <v>261</v>
      </c>
      <c r="C203">
        <v>19</v>
      </c>
      <c r="D203" t="s">
        <v>47</v>
      </c>
      <c r="E203" t="s">
        <v>44</v>
      </c>
      <c r="F203" t="s">
        <v>45</v>
      </c>
      <c r="G203" s="1">
        <v>987525</v>
      </c>
      <c r="S203" s="1">
        <v>987525</v>
      </c>
      <c r="T203" t="s">
        <v>26</v>
      </c>
    </row>
    <row r="204" spans="1:20" x14ac:dyDescent="0.35">
      <c r="A204">
        <v>209</v>
      </c>
      <c r="B204" t="s">
        <v>262</v>
      </c>
      <c r="C204">
        <v>19</v>
      </c>
      <c r="D204" t="s">
        <v>47</v>
      </c>
      <c r="E204" t="s">
        <v>37</v>
      </c>
      <c r="F204" t="s">
        <v>38</v>
      </c>
      <c r="I204" s="1">
        <v>745833.35</v>
      </c>
      <c r="S204" s="1">
        <v>745833.35</v>
      </c>
      <c r="T204" t="s">
        <v>84</v>
      </c>
    </row>
    <row r="205" spans="1:20" x14ac:dyDescent="0.35">
      <c r="A205">
        <v>210</v>
      </c>
      <c r="B205" t="s">
        <v>341</v>
      </c>
      <c r="C205">
        <v>19</v>
      </c>
      <c r="D205" t="s">
        <v>47</v>
      </c>
      <c r="E205" t="s">
        <v>28</v>
      </c>
      <c r="F205" t="s">
        <v>29</v>
      </c>
      <c r="P205" s="1">
        <v>1260000</v>
      </c>
      <c r="S205" s="1">
        <v>1260000</v>
      </c>
      <c r="T205" t="s">
        <v>61</v>
      </c>
    </row>
    <row r="206" spans="1:20" x14ac:dyDescent="0.35">
      <c r="A206">
        <v>211</v>
      </c>
      <c r="B206" t="s">
        <v>263</v>
      </c>
      <c r="C206">
        <v>12</v>
      </c>
      <c r="D206" t="s">
        <v>71</v>
      </c>
      <c r="E206" t="s">
        <v>44</v>
      </c>
      <c r="F206" t="s">
        <v>45</v>
      </c>
      <c r="G206" s="1">
        <v>260000</v>
      </c>
      <c r="K206" s="1">
        <v>256500</v>
      </c>
      <c r="O206" s="1">
        <v>256500</v>
      </c>
      <c r="S206" s="1">
        <v>773000</v>
      </c>
      <c r="T206" t="s">
        <v>84</v>
      </c>
    </row>
    <row r="207" spans="1:20" x14ac:dyDescent="0.35">
      <c r="A207">
        <v>212</v>
      </c>
      <c r="B207" t="s">
        <v>264</v>
      </c>
      <c r="C207">
        <v>19</v>
      </c>
      <c r="D207" t="s">
        <v>47</v>
      </c>
      <c r="E207" t="s">
        <v>37</v>
      </c>
      <c r="I207" s="1">
        <v>1030000</v>
      </c>
      <c r="S207" s="1">
        <v>1030000</v>
      </c>
      <c r="T207" t="s">
        <v>84</v>
      </c>
    </row>
    <row r="208" spans="1:20" x14ac:dyDescent="0.35">
      <c r="A208">
        <v>213</v>
      </c>
      <c r="B208" t="s">
        <v>265</v>
      </c>
      <c r="C208">
        <v>18</v>
      </c>
      <c r="D208" t="s">
        <v>71</v>
      </c>
      <c r="E208" t="s">
        <v>37</v>
      </c>
      <c r="I208" s="1">
        <v>350000</v>
      </c>
      <c r="M208" s="1">
        <v>350000</v>
      </c>
      <c r="Q208" s="1">
        <v>210416.66</v>
      </c>
      <c r="S208" s="1">
        <v>910416.66</v>
      </c>
      <c r="T208" t="s">
        <v>84</v>
      </c>
    </row>
    <row r="209" spans="1:20" x14ac:dyDescent="0.35">
      <c r="A209">
        <v>214</v>
      </c>
      <c r="B209" t="s">
        <v>266</v>
      </c>
      <c r="C209">
        <v>18</v>
      </c>
      <c r="D209" t="s">
        <v>47</v>
      </c>
      <c r="E209" t="s">
        <v>38</v>
      </c>
      <c r="F209" t="s">
        <v>44</v>
      </c>
      <c r="H209" s="1">
        <v>528000</v>
      </c>
      <c r="S209" s="1">
        <v>528000</v>
      </c>
      <c r="T209" t="s">
        <v>84</v>
      </c>
    </row>
    <row r="210" spans="1:20" x14ac:dyDescent="0.35">
      <c r="A210">
        <v>215</v>
      </c>
      <c r="B210" t="s">
        <v>267</v>
      </c>
      <c r="C210">
        <v>18</v>
      </c>
      <c r="D210" t="s">
        <v>58</v>
      </c>
      <c r="E210" t="s">
        <v>24</v>
      </c>
      <c r="F210" t="s">
        <v>25</v>
      </c>
      <c r="G210" s="1">
        <v>540000</v>
      </c>
      <c r="M210" s="1">
        <v>540000</v>
      </c>
      <c r="S210" s="1">
        <v>1080000</v>
      </c>
      <c r="T210" t="s">
        <v>61</v>
      </c>
    </row>
    <row r="211" spans="1:20" x14ac:dyDescent="0.35">
      <c r="A211">
        <v>216</v>
      </c>
      <c r="B211" t="s">
        <v>268</v>
      </c>
      <c r="C211">
        <v>18</v>
      </c>
      <c r="D211" t="s">
        <v>47</v>
      </c>
      <c r="E211" t="s">
        <v>24</v>
      </c>
      <c r="F211" t="s">
        <v>25</v>
      </c>
      <c r="M211" s="2">
        <v>920000</v>
      </c>
      <c r="S211" s="1">
        <v>920000</v>
      </c>
      <c r="T211" t="s">
        <v>84</v>
      </c>
    </row>
    <row r="212" spans="1:20" x14ac:dyDescent="0.35">
      <c r="A212">
        <v>217</v>
      </c>
      <c r="B212" t="s">
        <v>269</v>
      </c>
      <c r="C212">
        <v>18</v>
      </c>
      <c r="D212" t="s">
        <v>47</v>
      </c>
      <c r="E212" t="s">
        <v>45</v>
      </c>
      <c r="F212" t="s">
        <v>54</v>
      </c>
      <c r="R212" s="1">
        <v>1440000</v>
      </c>
      <c r="S212" s="1">
        <v>1440000</v>
      </c>
      <c r="T212" t="s">
        <v>50</v>
      </c>
    </row>
    <row r="213" spans="1:20" x14ac:dyDescent="0.35">
      <c r="A213">
        <v>218</v>
      </c>
      <c r="B213" t="s">
        <v>270</v>
      </c>
      <c r="C213">
        <v>19</v>
      </c>
      <c r="D213" t="s">
        <v>71</v>
      </c>
      <c r="E213" t="s">
        <v>82</v>
      </c>
      <c r="F213" t="s">
        <v>24</v>
      </c>
      <c r="N213" s="1">
        <v>451440</v>
      </c>
      <c r="R213" s="1">
        <v>451450</v>
      </c>
      <c r="S213" s="1">
        <v>902890</v>
      </c>
      <c r="T213" t="s">
        <v>84</v>
      </c>
    </row>
    <row r="214" spans="1:20" x14ac:dyDescent="0.35">
      <c r="A214">
        <v>219</v>
      </c>
      <c r="B214" t="s">
        <v>271</v>
      </c>
      <c r="C214">
        <v>17</v>
      </c>
      <c r="D214" t="s">
        <v>47</v>
      </c>
      <c r="E214" t="s">
        <v>54</v>
      </c>
      <c r="F214" t="s">
        <v>45</v>
      </c>
      <c r="Q214" s="1">
        <v>2140000</v>
      </c>
      <c r="S214" s="1">
        <v>2140000</v>
      </c>
      <c r="T214" t="s">
        <v>50</v>
      </c>
    </row>
    <row r="215" spans="1:20" x14ac:dyDescent="0.35">
      <c r="A215">
        <v>220</v>
      </c>
      <c r="B215" t="s">
        <v>272</v>
      </c>
      <c r="C215">
        <v>17</v>
      </c>
      <c r="D215" t="s">
        <v>58</v>
      </c>
      <c r="E215" t="s">
        <v>29</v>
      </c>
      <c r="F215" t="s">
        <v>65</v>
      </c>
      <c r="I215" s="1">
        <v>645000</v>
      </c>
      <c r="O215" s="1">
        <v>645000</v>
      </c>
      <c r="S215" s="1">
        <v>1290000</v>
      </c>
      <c r="T215" t="s">
        <v>61</v>
      </c>
    </row>
    <row r="216" spans="1:20" x14ac:dyDescent="0.35">
      <c r="A216">
        <v>221</v>
      </c>
      <c r="B216" t="s">
        <v>273</v>
      </c>
      <c r="C216">
        <v>17</v>
      </c>
      <c r="D216" t="s">
        <v>47</v>
      </c>
      <c r="E216" t="s">
        <v>38</v>
      </c>
      <c r="F216" t="s">
        <v>44</v>
      </c>
      <c r="H216" s="1">
        <v>840000</v>
      </c>
      <c r="S216" s="1">
        <v>840000</v>
      </c>
      <c r="T216" t="s">
        <v>84</v>
      </c>
    </row>
    <row r="217" spans="1:20" x14ac:dyDescent="0.35">
      <c r="A217">
        <v>222</v>
      </c>
      <c r="B217" t="s">
        <v>274</v>
      </c>
      <c r="C217">
        <v>17</v>
      </c>
      <c r="D217" t="s">
        <v>23</v>
      </c>
      <c r="E217" t="s">
        <v>54</v>
      </c>
      <c r="F217" t="s">
        <v>28</v>
      </c>
      <c r="G217" s="5"/>
      <c r="H217" s="5">
        <v>519600</v>
      </c>
      <c r="K217" s="5">
        <v>519600</v>
      </c>
      <c r="N217" s="5">
        <v>519600</v>
      </c>
      <c r="Q217" s="5">
        <v>519600</v>
      </c>
      <c r="S217" s="5">
        <v>2078400</v>
      </c>
      <c r="T217" t="s">
        <v>30</v>
      </c>
    </row>
    <row r="218" spans="1:20" x14ac:dyDescent="0.35">
      <c r="A218">
        <v>223</v>
      </c>
      <c r="B218" t="s">
        <v>275</v>
      </c>
      <c r="C218">
        <v>17</v>
      </c>
      <c r="D218" t="s">
        <v>47</v>
      </c>
      <c r="E218" t="s">
        <v>54</v>
      </c>
      <c r="F218" t="s">
        <v>28</v>
      </c>
      <c r="Q218" s="1">
        <v>942000</v>
      </c>
      <c r="S218" s="1">
        <v>942000</v>
      </c>
      <c r="T218" t="s">
        <v>26</v>
      </c>
    </row>
    <row r="219" spans="1:20" x14ac:dyDescent="0.35">
      <c r="A219">
        <v>224</v>
      </c>
      <c r="B219" t="s">
        <v>276</v>
      </c>
      <c r="C219">
        <v>17</v>
      </c>
      <c r="D219" t="s">
        <v>47</v>
      </c>
      <c r="E219" t="s">
        <v>33</v>
      </c>
      <c r="F219" t="s">
        <v>34</v>
      </c>
      <c r="K219" s="1">
        <v>1291200</v>
      </c>
      <c r="S219" s="1">
        <v>1291200</v>
      </c>
      <c r="T219" t="s">
        <v>84</v>
      </c>
    </row>
    <row r="220" spans="1:20" x14ac:dyDescent="0.35">
      <c r="A220">
        <v>225</v>
      </c>
      <c r="B220" t="s">
        <v>277</v>
      </c>
      <c r="C220">
        <v>16</v>
      </c>
      <c r="D220" t="s">
        <v>47</v>
      </c>
      <c r="E220" t="s">
        <v>37</v>
      </c>
      <c r="F220" t="s">
        <v>38</v>
      </c>
      <c r="I220" s="1">
        <v>600000</v>
      </c>
      <c r="S220" s="1">
        <v>600000</v>
      </c>
      <c r="T220" t="s">
        <v>84</v>
      </c>
    </row>
    <row r="221" spans="1:20" x14ac:dyDescent="0.35">
      <c r="A221">
        <v>226</v>
      </c>
      <c r="B221" t="s">
        <v>278</v>
      </c>
      <c r="C221">
        <v>16</v>
      </c>
      <c r="D221" t="s">
        <v>47</v>
      </c>
      <c r="E221" t="s">
        <v>34</v>
      </c>
      <c r="F221" t="s">
        <v>37</v>
      </c>
      <c r="J221" s="1">
        <v>919000</v>
      </c>
      <c r="S221" s="1">
        <v>919000</v>
      </c>
      <c r="T221" t="s">
        <v>84</v>
      </c>
    </row>
    <row r="222" spans="1:20" x14ac:dyDescent="0.35">
      <c r="A222">
        <v>227</v>
      </c>
      <c r="B222" t="s">
        <v>279</v>
      </c>
      <c r="C222">
        <v>16</v>
      </c>
      <c r="D222" t="s">
        <v>23</v>
      </c>
      <c r="E222" t="s">
        <v>44</v>
      </c>
      <c r="F222" t="s">
        <v>45</v>
      </c>
      <c r="G222" s="1">
        <v>155250</v>
      </c>
      <c r="J222" s="1">
        <v>155250</v>
      </c>
      <c r="M222" s="1">
        <v>155250</v>
      </c>
      <c r="P222" s="1">
        <v>155250</v>
      </c>
      <c r="S222" s="1">
        <v>621000</v>
      </c>
      <c r="T222" t="s">
        <v>84</v>
      </c>
    </row>
    <row r="223" spans="1:20" x14ac:dyDescent="0.35">
      <c r="A223">
        <v>228</v>
      </c>
      <c r="B223" t="s">
        <v>280</v>
      </c>
      <c r="C223">
        <v>16</v>
      </c>
      <c r="D223" t="s">
        <v>47</v>
      </c>
      <c r="E223" t="s">
        <v>38</v>
      </c>
      <c r="F223" t="s">
        <v>44</v>
      </c>
      <c r="H223" s="1">
        <v>2592000</v>
      </c>
      <c r="S223" s="1">
        <v>2592000</v>
      </c>
      <c r="T223" t="s">
        <v>84</v>
      </c>
    </row>
    <row r="224" spans="1:20" x14ac:dyDescent="0.35">
      <c r="A224">
        <v>229</v>
      </c>
      <c r="B224" t="s">
        <v>281</v>
      </c>
      <c r="C224">
        <v>16</v>
      </c>
      <c r="D224" t="s">
        <v>47</v>
      </c>
      <c r="E224" t="s">
        <v>29</v>
      </c>
      <c r="F224" t="s">
        <v>65</v>
      </c>
      <c r="O224" s="1">
        <v>720000</v>
      </c>
      <c r="S224" s="1">
        <v>720000</v>
      </c>
      <c r="T224" t="s">
        <v>84</v>
      </c>
    </row>
    <row r="225" spans="1:20" x14ac:dyDescent="0.35">
      <c r="A225">
        <v>230</v>
      </c>
      <c r="B225" t="s">
        <v>282</v>
      </c>
      <c r="C225">
        <v>16</v>
      </c>
      <c r="D225" t="s">
        <v>58</v>
      </c>
      <c r="E225" t="s">
        <v>25</v>
      </c>
      <c r="F225" t="s">
        <v>33</v>
      </c>
      <c r="L225" s="1">
        <v>753000</v>
      </c>
      <c r="R225" s="1">
        <v>300000</v>
      </c>
      <c r="S225" s="1">
        <v>1053000</v>
      </c>
      <c r="T225" t="s">
        <v>84</v>
      </c>
    </row>
    <row r="226" spans="1:20" x14ac:dyDescent="0.35">
      <c r="A226">
        <v>231</v>
      </c>
      <c r="B226" t="s">
        <v>283</v>
      </c>
      <c r="C226">
        <v>10</v>
      </c>
      <c r="D226" t="s">
        <v>47</v>
      </c>
      <c r="E226" t="s">
        <v>34</v>
      </c>
      <c r="F226" t="s">
        <v>37</v>
      </c>
      <c r="J226" s="1">
        <v>511200</v>
      </c>
      <c r="S226" s="1">
        <v>511200</v>
      </c>
      <c r="T226" t="s">
        <v>94</v>
      </c>
    </row>
    <row r="227" spans="1:20" x14ac:dyDescent="0.35">
      <c r="A227">
        <v>232</v>
      </c>
      <c r="B227" t="s">
        <v>284</v>
      </c>
      <c r="C227">
        <v>15</v>
      </c>
      <c r="D227" t="s">
        <v>47</v>
      </c>
      <c r="E227" t="s">
        <v>34</v>
      </c>
      <c r="F227" t="s">
        <v>37</v>
      </c>
      <c r="J227" s="1">
        <v>912000</v>
      </c>
      <c r="S227" s="1">
        <v>912000</v>
      </c>
      <c r="T227" t="s">
        <v>30</v>
      </c>
    </row>
    <row r="228" spans="1:20" x14ac:dyDescent="0.35">
      <c r="A228">
        <v>233</v>
      </c>
      <c r="B228" t="s">
        <v>285</v>
      </c>
      <c r="C228">
        <v>15</v>
      </c>
      <c r="D228" t="s">
        <v>71</v>
      </c>
      <c r="E228" t="s">
        <v>37</v>
      </c>
      <c r="F228" t="s">
        <v>38</v>
      </c>
      <c r="I228" s="1">
        <v>304000</v>
      </c>
      <c r="M228" s="1">
        <v>304000</v>
      </c>
      <c r="Q228" s="1">
        <v>304000</v>
      </c>
      <c r="S228" s="1">
        <v>912000</v>
      </c>
      <c r="T228" t="s">
        <v>286</v>
      </c>
    </row>
    <row r="229" spans="1:20" x14ac:dyDescent="0.35">
      <c r="A229">
        <v>234</v>
      </c>
      <c r="B229" t="s">
        <v>287</v>
      </c>
      <c r="C229">
        <v>19</v>
      </c>
      <c r="D229" t="s">
        <v>47</v>
      </c>
      <c r="E229" t="s">
        <v>28</v>
      </c>
      <c r="F229" t="s">
        <v>29</v>
      </c>
      <c r="P229" s="1">
        <v>912000</v>
      </c>
      <c r="S229" s="1">
        <v>912000</v>
      </c>
      <c r="T229" t="s">
        <v>84</v>
      </c>
    </row>
    <row r="230" spans="1:20" x14ac:dyDescent="0.35">
      <c r="A230">
        <v>235</v>
      </c>
      <c r="B230" t="s">
        <v>288</v>
      </c>
      <c r="C230">
        <v>14</v>
      </c>
      <c r="D230" t="s">
        <v>47</v>
      </c>
      <c r="E230" t="s">
        <v>24</v>
      </c>
      <c r="F230" t="s">
        <v>25</v>
      </c>
      <c r="M230" s="1">
        <v>720000</v>
      </c>
      <c r="S230" s="1">
        <v>720000</v>
      </c>
      <c r="T230" t="s">
        <v>84</v>
      </c>
    </row>
    <row r="231" spans="1:20" x14ac:dyDescent="0.35">
      <c r="A231">
        <v>236</v>
      </c>
      <c r="B231" t="s">
        <v>289</v>
      </c>
      <c r="C231">
        <v>15</v>
      </c>
      <c r="D231" t="s">
        <v>71</v>
      </c>
      <c r="E231" t="s">
        <v>82</v>
      </c>
      <c r="F231" t="s">
        <v>24</v>
      </c>
      <c r="N231" s="1">
        <v>200000</v>
      </c>
      <c r="R231" s="1">
        <v>220000</v>
      </c>
      <c r="S231" s="1">
        <v>420000</v>
      </c>
      <c r="T231" t="s">
        <v>84</v>
      </c>
    </row>
    <row r="232" spans="1:20" x14ac:dyDescent="0.35">
      <c r="A232">
        <v>237</v>
      </c>
      <c r="B232" t="s">
        <v>290</v>
      </c>
      <c r="C232">
        <v>14</v>
      </c>
      <c r="D232" t="s">
        <v>47</v>
      </c>
      <c r="E232" t="s">
        <v>44</v>
      </c>
      <c r="F232" t="s">
        <v>45</v>
      </c>
      <c r="G232" s="1">
        <v>604800</v>
      </c>
      <c r="S232" s="1">
        <v>604800</v>
      </c>
      <c r="T232" t="s">
        <v>84</v>
      </c>
    </row>
    <row r="233" spans="1:20" x14ac:dyDescent="0.35">
      <c r="A233">
        <v>239</v>
      </c>
      <c r="B233" t="s">
        <v>291</v>
      </c>
      <c r="C233">
        <v>13</v>
      </c>
      <c r="D233" t="s">
        <v>47</v>
      </c>
      <c r="E233" t="s">
        <v>37</v>
      </c>
      <c r="I233" s="1">
        <v>260000</v>
      </c>
      <c r="L233" s="1">
        <v>93333.32</v>
      </c>
      <c r="P233">
        <v>43749.99</v>
      </c>
      <c r="S233" s="1">
        <v>397083.31</v>
      </c>
      <c r="T233" t="s">
        <v>84</v>
      </c>
    </row>
    <row r="234" spans="1:20" x14ac:dyDescent="0.35">
      <c r="A234">
        <v>241</v>
      </c>
      <c r="B234" t="s">
        <v>292</v>
      </c>
      <c r="C234">
        <v>12</v>
      </c>
      <c r="D234" t="s">
        <v>47</v>
      </c>
      <c r="E234" t="s">
        <v>29</v>
      </c>
      <c r="F234" t="s">
        <v>28</v>
      </c>
      <c r="O234" s="1">
        <v>607200</v>
      </c>
      <c r="S234" s="1">
        <v>607200</v>
      </c>
      <c r="T234" t="s">
        <v>84</v>
      </c>
    </row>
    <row r="235" spans="1:20" x14ac:dyDescent="0.35">
      <c r="A235">
        <v>242</v>
      </c>
      <c r="B235" t="s">
        <v>293</v>
      </c>
      <c r="C235">
        <v>13</v>
      </c>
      <c r="D235" t="s">
        <v>47</v>
      </c>
      <c r="E235" t="s">
        <v>28</v>
      </c>
      <c r="F235" t="s">
        <v>294</v>
      </c>
      <c r="P235" s="1">
        <v>933600</v>
      </c>
      <c r="S235" s="1">
        <v>933600</v>
      </c>
      <c r="T235" t="s">
        <v>30</v>
      </c>
    </row>
    <row r="236" spans="1:20" x14ac:dyDescent="0.35">
      <c r="A236">
        <v>243</v>
      </c>
      <c r="B236" t="s">
        <v>295</v>
      </c>
      <c r="C236">
        <v>17</v>
      </c>
      <c r="D236" t="s">
        <v>47</v>
      </c>
      <c r="E236" t="s">
        <v>82</v>
      </c>
      <c r="F236" t="s">
        <v>24</v>
      </c>
      <c r="N236" s="1">
        <v>948000</v>
      </c>
      <c r="S236" s="1">
        <v>948000</v>
      </c>
      <c r="T236" t="s">
        <v>84</v>
      </c>
    </row>
    <row r="237" spans="1:20" x14ac:dyDescent="0.35">
      <c r="A237">
        <v>244</v>
      </c>
      <c r="B237" t="s">
        <v>296</v>
      </c>
      <c r="C237">
        <v>12</v>
      </c>
      <c r="D237" t="s">
        <v>47</v>
      </c>
      <c r="E237" t="s">
        <v>297</v>
      </c>
      <c r="F237" t="s">
        <v>34</v>
      </c>
      <c r="K237" s="1">
        <v>859200</v>
      </c>
      <c r="S237" s="1">
        <v>859200</v>
      </c>
      <c r="T237" t="s">
        <v>63</v>
      </c>
    </row>
    <row r="238" spans="1:20" x14ac:dyDescent="0.35">
      <c r="A238">
        <v>245</v>
      </c>
      <c r="B238" t="s">
        <v>298</v>
      </c>
      <c r="C238">
        <v>11</v>
      </c>
      <c r="D238" t="s">
        <v>47</v>
      </c>
      <c r="E238" t="s">
        <v>24</v>
      </c>
      <c r="F238" t="s">
        <v>25</v>
      </c>
      <c r="M238" s="1">
        <v>480000</v>
      </c>
      <c r="S238" s="1">
        <v>480000</v>
      </c>
      <c r="T238" t="s">
        <v>84</v>
      </c>
    </row>
    <row r="239" spans="1:20" x14ac:dyDescent="0.35">
      <c r="A239">
        <v>246</v>
      </c>
      <c r="B239" t="s">
        <v>299</v>
      </c>
      <c r="C239">
        <v>11</v>
      </c>
      <c r="D239" t="s">
        <v>47</v>
      </c>
      <c r="E239" t="s">
        <v>45</v>
      </c>
      <c r="F239" t="s">
        <v>54</v>
      </c>
      <c r="R239" s="2">
        <v>528000</v>
      </c>
      <c r="S239" s="1">
        <v>528000</v>
      </c>
      <c r="T239" t="s">
        <v>84</v>
      </c>
    </row>
    <row r="240" spans="1:20" x14ac:dyDescent="0.35">
      <c r="A240">
        <v>247</v>
      </c>
      <c r="B240" t="s">
        <v>300</v>
      </c>
      <c r="C240">
        <v>11</v>
      </c>
      <c r="D240" t="s">
        <v>47</v>
      </c>
      <c r="E240" t="s">
        <v>33</v>
      </c>
      <c r="F240" t="s">
        <v>34</v>
      </c>
      <c r="K240" s="1">
        <v>782000</v>
      </c>
      <c r="S240" s="1">
        <v>782000</v>
      </c>
      <c r="T240" t="s">
        <v>84</v>
      </c>
    </row>
    <row r="241" spans="1:20" x14ac:dyDescent="0.35">
      <c r="A241">
        <v>248</v>
      </c>
      <c r="B241" t="s">
        <v>301</v>
      </c>
      <c r="C241">
        <v>11</v>
      </c>
      <c r="D241" t="s">
        <v>58</v>
      </c>
      <c r="E241" t="s">
        <v>44</v>
      </c>
      <c r="F241" t="s">
        <v>45</v>
      </c>
      <c r="G241" s="1">
        <v>324900</v>
      </c>
      <c r="M241" s="1">
        <v>162450</v>
      </c>
      <c r="P241" s="1">
        <v>150150</v>
      </c>
      <c r="S241" s="1">
        <v>637500</v>
      </c>
      <c r="T241" t="s">
        <v>84</v>
      </c>
    </row>
    <row r="242" spans="1:20" x14ac:dyDescent="0.35">
      <c r="A242">
        <v>249</v>
      </c>
      <c r="B242" t="s">
        <v>302</v>
      </c>
      <c r="C242">
        <v>11</v>
      </c>
      <c r="D242" t="s">
        <v>47</v>
      </c>
      <c r="E242" t="s">
        <v>54</v>
      </c>
      <c r="F242" t="s">
        <v>28</v>
      </c>
      <c r="Q242" s="2">
        <v>679000</v>
      </c>
      <c r="S242" s="1">
        <v>679000</v>
      </c>
      <c r="T242" t="s">
        <v>84</v>
      </c>
    </row>
    <row r="243" spans="1:20" x14ac:dyDescent="0.35">
      <c r="A243">
        <v>250</v>
      </c>
      <c r="B243" t="s">
        <v>303</v>
      </c>
      <c r="C243">
        <v>11</v>
      </c>
      <c r="D243" t="s">
        <v>47</v>
      </c>
      <c r="E243" t="s">
        <v>34</v>
      </c>
      <c r="F243" t="s">
        <v>37</v>
      </c>
      <c r="J243" s="1">
        <v>432000</v>
      </c>
      <c r="S243" s="1">
        <v>432000</v>
      </c>
      <c r="T243" t="s">
        <v>84</v>
      </c>
    </row>
    <row r="244" spans="1:20" x14ac:dyDescent="0.35">
      <c r="A244">
        <v>251</v>
      </c>
      <c r="B244" t="s">
        <v>304</v>
      </c>
      <c r="C244">
        <v>11</v>
      </c>
      <c r="D244" t="s">
        <v>47</v>
      </c>
      <c r="E244" t="s">
        <v>29</v>
      </c>
      <c r="F244" t="s">
        <v>65</v>
      </c>
      <c r="O244" s="1">
        <v>565200</v>
      </c>
      <c r="S244" s="1">
        <v>565200</v>
      </c>
      <c r="T244" t="s">
        <v>84</v>
      </c>
    </row>
    <row r="245" spans="1:20" x14ac:dyDescent="0.35">
      <c r="A245">
        <v>252</v>
      </c>
      <c r="B245" t="s">
        <v>305</v>
      </c>
      <c r="C245">
        <v>11</v>
      </c>
      <c r="D245" t="s">
        <v>47</v>
      </c>
      <c r="E245" t="s">
        <v>44</v>
      </c>
      <c r="F245" t="s">
        <v>45</v>
      </c>
      <c r="G245" s="1">
        <v>352000</v>
      </c>
      <c r="S245" s="1">
        <v>352000</v>
      </c>
      <c r="T245" t="s">
        <v>30</v>
      </c>
    </row>
    <row r="246" spans="1:20" x14ac:dyDescent="0.35">
      <c r="A246">
        <v>253</v>
      </c>
      <c r="B246" t="s">
        <v>306</v>
      </c>
      <c r="C246">
        <v>13</v>
      </c>
      <c r="D246" t="s">
        <v>47</v>
      </c>
      <c r="E246" t="s">
        <v>34</v>
      </c>
      <c r="F246" t="s">
        <v>37</v>
      </c>
      <c r="J246" s="1">
        <v>450000</v>
      </c>
      <c r="K246" s="1">
        <v>96000</v>
      </c>
      <c r="S246" s="1">
        <v>546000</v>
      </c>
      <c r="T246" t="s">
        <v>84</v>
      </c>
    </row>
    <row r="247" spans="1:20" x14ac:dyDescent="0.35">
      <c r="A247">
        <v>254</v>
      </c>
      <c r="B247" t="s">
        <v>307</v>
      </c>
      <c r="C247">
        <v>11</v>
      </c>
      <c r="D247" t="s">
        <v>47</v>
      </c>
      <c r="E247" t="s">
        <v>38</v>
      </c>
      <c r="F247" t="s">
        <v>44</v>
      </c>
      <c r="H247" s="1">
        <v>620700</v>
      </c>
      <c r="S247" s="1">
        <v>620700</v>
      </c>
      <c r="T247" t="s">
        <v>84</v>
      </c>
    </row>
    <row r="248" spans="1:20" x14ac:dyDescent="0.35">
      <c r="A248">
        <v>255</v>
      </c>
      <c r="B248" t="s">
        <v>308</v>
      </c>
      <c r="C248">
        <v>10</v>
      </c>
      <c r="D248" t="s">
        <v>47</v>
      </c>
      <c r="E248" t="s">
        <v>34</v>
      </c>
      <c r="F248" t="s">
        <v>37</v>
      </c>
      <c r="J248" s="1">
        <v>300000</v>
      </c>
      <c r="Q248" s="1">
        <v>12500</v>
      </c>
      <c r="S248" s="1">
        <v>312500</v>
      </c>
      <c r="T248" t="s">
        <v>84</v>
      </c>
    </row>
    <row r="249" spans="1:20" x14ac:dyDescent="0.35">
      <c r="A249">
        <v>256</v>
      </c>
      <c r="B249" t="s">
        <v>309</v>
      </c>
      <c r="C249">
        <v>10</v>
      </c>
      <c r="D249" t="s">
        <v>43</v>
      </c>
      <c r="E249" t="s">
        <v>38</v>
      </c>
      <c r="F249" t="s">
        <v>44</v>
      </c>
      <c r="H249" s="1">
        <v>82500</v>
      </c>
      <c r="K249" s="1">
        <v>82500</v>
      </c>
      <c r="N249" s="1">
        <v>82500</v>
      </c>
      <c r="Q249" s="1">
        <v>82500</v>
      </c>
      <c r="S249" s="1">
        <v>330000</v>
      </c>
      <c r="T249" t="s">
        <v>50</v>
      </c>
    </row>
    <row r="250" spans="1:20" x14ac:dyDescent="0.35">
      <c r="A250">
        <v>257</v>
      </c>
      <c r="B250" t="s">
        <v>310</v>
      </c>
      <c r="C250">
        <v>10</v>
      </c>
      <c r="D250" t="s">
        <v>47</v>
      </c>
      <c r="E250" t="s">
        <v>44</v>
      </c>
      <c r="F250" t="s">
        <v>45</v>
      </c>
      <c r="G250" s="1">
        <v>1011000</v>
      </c>
      <c r="S250" s="1">
        <v>1011000</v>
      </c>
      <c r="T250" t="s">
        <v>84</v>
      </c>
    </row>
    <row r="251" spans="1:20" x14ac:dyDescent="0.35">
      <c r="A251">
        <v>258</v>
      </c>
      <c r="B251" t="s">
        <v>311</v>
      </c>
      <c r="C251">
        <v>4</v>
      </c>
      <c r="D251" t="s">
        <v>47</v>
      </c>
      <c r="E251" t="s">
        <v>34</v>
      </c>
      <c r="F251" t="s">
        <v>37</v>
      </c>
      <c r="J251" s="1">
        <v>255480</v>
      </c>
      <c r="S251" s="1">
        <v>255480</v>
      </c>
      <c r="T251" t="s">
        <v>84</v>
      </c>
    </row>
    <row r="252" spans="1:20" x14ac:dyDescent="0.35">
      <c r="A252">
        <v>259</v>
      </c>
      <c r="B252" t="s">
        <v>312</v>
      </c>
      <c r="C252">
        <v>11</v>
      </c>
      <c r="D252" t="s">
        <v>47</v>
      </c>
      <c r="E252" t="s">
        <v>54</v>
      </c>
      <c r="F252" t="s">
        <v>28</v>
      </c>
      <c r="Q252" s="1">
        <v>840000</v>
      </c>
      <c r="S252" s="1">
        <v>840000</v>
      </c>
      <c r="T252" t="s">
        <v>84</v>
      </c>
    </row>
    <row r="253" spans="1:20" x14ac:dyDescent="0.35">
      <c r="A253">
        <v>260</v>
      </c>
      <c r="B253" t="s">
        <v>313</v>
      </c>
      <c r="C253">
        <v>9</v>
      </c>
      <c r="D253" t="s">
        <v>58</v>
      </c>
      <c r="E253" s="3">
        <v>42125</v>
      </c>
      <c r="F253" s="3">
        <v>41760</v>
      </c>
      <c r="K253" s="1">
        <v>283860</v>
      </c>
      <c r="Q253" s="2">
        <v>283860</v>
      </c>
      <c r="S253" s="1">
        <v>567720</v>
      </c>
      <c r="T253" t="s">
        <v>84</v>
      </c>
    </row>
    <row r="254" spans="1:20" x14ac:dyDescent="0.35">
      <c r="A254">
        <v>261</v>
      </c>
      <c r="B254" t="s">
        <v>314</v>
      </c>
      <c r="C254">
        <v>9</v>
      </c>
      <c r="D254" t="s">
        <v>47</v>
      </c>
      <c r="E254" t="s">
        <v>28</v>
      </c>
      <c r="F254" t="s">
        <v>29</v>
      </c>
      <c r="P254" s="1">
        <v>442000</v>
      </c>
      <c r="S254" s="1">
        <v>442000</v>
      </c>
      <c r="T254" t="s">
        <v>84</v>
      </c>
    </row>
    <row r="255" spans="1:20" x14ac:dyDescent="0.35">
      <c r="A255">
        <v>262</v>
      </c>
      <c r="B255" t="s">
        <v>315</v>
      </c>
      <c r="C255">
        <v>8</v>
      </c>
      <c r="D255" t="s">
        <v>47</v>
      </c>
      <c r="E255" t="s">
        <v>44</v>
      </c>
      <c r="F255" t="s">
        <v>45</v>
      </c>
      <c r="G255" s="1">
        <v>384000</v>
      </c>
      <c r="S255" s="1">
        <v>384000</v>
      </c>
      <c r="T255" t="s">
        <v>84</v>
      </c>
    </row>
    <row r="256" spans="1:20" x14ac:dyDescent="0.35">
      <c r="A256">
        <v>263</v>
      </c>
      <c r="B256" t="s">
        <v>316</v>
      </c>
      <c r="C256">
        <v>9</v>
      </c>
      <c r="D256" t="s">
        <v>47</v>
      </c>
      <c r="E256" t="s">
        <v>54</v>
      </c>
      <c r="F256" t="s">
        <v>28</v>
      </c>
      <c r="Q256" s="1">
        <v>311200</v>
      </c>
      <c r="S256" s="1">
        <v>311200</v>
      </c>
      <c r="T256" t="s">
        <v>30</v>
      </c>
    </row>
    <row r="257" spans="1:20" x14ac:dyDescent="0.35">
      <c r="A257">
        <v>264</v>
      </c>
      <c r="B257" t="s">
        <v>317</v>
      </c>
      <c r="C257">
        <v>9</v>
      </c>
      <c r="D257" t="s">
        <v>47</v>
      </c>
      <c r="E257" t="s">
        <v>34</v>
      </c>
      <c r="F257" t="s">
        <v>37</v>
      </c>
      <c r="J257" s="1">
        <v>324000</v>
      </c>
      <c r="Q257" s="1">
        <v>37500</v>
      </c>
      <c r="S257" s="1">
        <v>361500</v>
      </c>
      <c r="T257" t="s">
        <v>84</v>
      </c>
    </row>
    <row r="258" spans="1:20" x14ac:dyDescent="0.35">
      <c r="A258">
        <v>265</v>
      </c>
      <c r="B258" t="s">
        <v>318</v>
      </c>
      <c r="C258">
        <v>9</v>
      </c>
      <c r="D258" t="s">
        <v>47</v>
      </c>
      <c r="E258" t="s">
        <v>38</v>
      </c>
      <c r="F258" t="s">
        <v>44</v>
      </c>
      <c r="H258" s="1">
        <v>224000</v>
      </c>
      <c r="S258" s="1">
        <v>224000</v>
      </c>
      <c r="T258" t="s">
        <v>30</v>
      </c>
    </row>
    <row r="259" spans="1:20" x14ac:dyDescent="0.35">
      <c r="A259">
        <v>266</v>
      </c>
      <c r="B259" t="s">
        <v>319</v>
      </c>
      <c r="C259">
        <v>9</v>
      </c>
      <c r="D259" t="s">
        <v>47</v>
      </c>
      <c r="E259" t="s">
        <v>33</v>
      </c>
      <c r="F259" t="s">
        <v>161</v>
      </c>
      <c r="J259" s="1">
        <v>408000</v>
      </c>
      <c r="S259" s="1">
        <v>408000</v>
      </c>
      <c r="T259" t="s">
        <v>94</v>
      </c>
    </row>
    <row r="260" spans="1:20" x14ac:dyDescent="0.35">
      <c r="A260">
        <v>267</v>
      </c>
      <c r="B260" t="s">
        <v>320</v>
      </c>
      <c r="C260">
        <v>13</v>
      </c>
      <c r="D260" t="s">
        <v>47</v>
      </c>
      <c r="E260" t="s">
        <v>38</v>
      </c>
      <c r="F260" t="s">
        <v>44</v>
      </c>
      <c r="H260" s="1">
        <v>967200</v>
      </c>
      <c r="S260" s="1">
        <v>967200</v>
      </c>
      <c r="T260" t="s">
        <v>84</v>
      </c>
    </row>
    <row r="261" spans="1:20" x14ac:dyDescent="0.35">
      <c r="A261">
        <v>268</v>
      </c>
      <c r="B261" t="s">
        <v>321</v>
      </c>
      <c r="C261">
        <v>8</v>
      </c>
      <c r="D261" t="s">
        <v>47</v>
      </c>
      <c r="E261" t="s">
        <v>38</v>
      </c>
      <c r="H261" s="1">
        <v>384000</v>
      </c>
      <c r="S261" s="1">
        <v>384000</v>
      </c>
      <c r="T261" t="s">
        <v>84</v>
      </c>
    </row>
    <row r="262" spans="1:20" x14ac:dyDescent="0.35">
      <c r="A262">
        <v>269</v>
      </c>
      <c r="B262" t="s">
        <v>322</v>
      </c>
      <c r="C262">
        <v>8</v>
      </c>
      <c r="D262" t="s">
        <v>47</v>
      </c>
      <c r="E262" t="s">
        <v>38</v>
      </c>
      <c r="F262" t="s">
        <v>44</v>
      </c>
      <c r="H262" s="1">
        <v>252000</v>
      </c>
      <c r="S262" s="1">
        <v>252000</v>
      </c>
      <c r="T262" t="s">
        <v>84</v>
      </c>
    </row>
    <row r="263" spans="1:20" x14ac:dyDescent="0.35">
      <c r="A263">
        <v>270</v>
      </c>
      <c r="B263" t="s">
        <v>323</v>
      </c>
      <c r="C263">
        <v>7</v>
      </c>
      <c r="D263" t="s">
        <v>47</v>
      </c>
      <c r="E263" t="s">
        <v>29</v>
      </c>
      <c r="F263" t="s">
        <v>65</v>
      </c>
      <c r="O263" s="1">
        <v>350000</v>
      </c>
      <c r="S263" s="1">
        <v>350000</v>
      </c>
      <c r="T263" t="s">
        <v>84</v>
      </c>
    </row>
    <row r="264" spans="1:20" x14ac:dyDescent="0.35">
      <c r="A264">
        <v>271</v>
      </c>
      <c r="B264" t="s">
        <v>324</v>
      </c>
      <c r="C264">
        <v>7</v>
      </c>
      <c r="D264" t="s">
        <v>47</v>
      </c>
      <c r="E264" t="s">
        <v>38</v>
      </c>
      <c r="F264" t="s">
        <v>44</v>
      </c>
      <c r="H264" s="1">
        <v>384000</v>
      </c>
      <c r="S264" s="1">
        <v>384000</v>
      </c>
      <c r="T264" t="s">
        <v>84</v>
      </c>
    </row>
    <row r="265" spans="1:20" x14ac:dyDescent="0.35">
      <c r="A265">
        <v>272</v>
      </c>
      <c r="B265" t="s">
        <v>325</v>
      </c>
      <c r="C265">
        <v>8</v>
      </c>
      <c r="D265" t="s">
        <v>47</v>
      </c>
      <c r="E265" t="s">
        <v>37</v>
      </c>
      <c r="F265" t="s">
        <v>38</v>
      </c>
      <c r="I265" s="1">
        <v>160000</v>
      </c>
      <c r="S265" s="1">
        <v>160000</v>
      </c>
      <c r="T265" t="s">
        <v>84</v>
      </c>
    </row>
    <row r="266" spans="1:20" x14ac:dyDescent="0.35">
      <c r="A266">
        <v>274</v>
      </c>
      <c r="B266" t="s">
        <v>326</v>
      </c>
      <c r="C266">
        <v>10</v>
      </c>
      <c r="D266" t="s">
        <v>47</v>
      </c>
      <c r="E266" t="s">
        <v>54</v>
      </c>
      <c r="F266" t="s">
        <v>28</v>
      </c>
      <c r="Q266" s="1">
        <v>480000</v>
      </c>
      <c r="S266" s="1">
        <v>480000</v>
      </c>
      <c r="T266" t="s">
        <v>84</v>
      </c>
    </row>
    <row r="267" spans="1:20" x14ac:dyDescent="0.35">
      <c r="A267">
        <v>275</v>
      </c>
      <c r="B267" t="s">
        <v>327</v>
      </c>
      <c r="C267">
        <v>12</v>
      </c>
      <c r="D267" t="s">
        <v>47</v>
      </c>
      <c r="E267" t="s">
        <v>34</v>
      </c>
      <c r="F267" t="s">
        <v>37</v>
      </c>
      <c r="J267" s="1">
        <v>576000</v>
      </c>
      <c r="S267" s="1">
        <v>576000</v>
      </c>
      <c r="T267" t="s">
        <v>84</v>
      </c>
    </row>
    <row r="268" spans="1:20" x14ac:dyDescent="0.35">
      <c r="A268">
        <v>276</v>
      </c>
      <c r="B268" t="s">
        <v>328</v>
      </c>
      <c r="C268">
        <v>6</v>
      </c>
      <c r="D268" t="s">
        <v>47</v>
      </c>
      <c r="E268" t="s">
        <v>38</v>
      </c>
      <c r="F268" t="s">
        <v>44</v>
      </c>
      <c r="H268" s="1">
        <v>288000</v>
      </c>
      <c r="S268" s="1">
        <v>288000</v>
      </c>
      <c r="T268" t="s">
        <v>84</v>
      </c>
    </row>
    <row r="269" spans="1:20" x14ac:dyDescent="0.35">
      <c r="A269">
        <v>277</v>
      </c>
      <c r="B269" t="s">
        <v>329</v>
      </c>
      <c r="C269">
        <v>5</v>
      </c>
      <c r="D269" t="s">
        <v>47</v>
      </c>
      <c r="E269" t="s">
        <v>44</v>
      </c>
      <c r="F269" t="s">
        <v>45</v>
      </c>
      <c r="G269" s="1">
        <v>439000</v>
      </c>
      <c r="S269" s="1">
        <v>439000</v>
      </c>
      <c r="T269" t="s">
        <v>50</v>
      </c>
    </row>
    <row r="270" spans="1:20" x14ac:dyDescent="0.35">
      <c r="A270">
        <v>278</v>
      </c>
      <c r="B270" t="s">
        <v>330</v>
      </c>
      <c r="C270">
        <v>10</v>
      </c>
      <c r="D270" t="s">
        <v>47</v>
      </c>
      <c r="E270" t="s">
        <v>25</v>
      </c>
      <c r="F270" t="s">
        <v>33</v>
      </c>
      <c r="L270" s="1">
        <v>792000</v>
      </c>
      <c r="S270" s="1">
        <v>792000</v>
      </c>
      <c r="T270" t="s">
        <v>84</v>
      </c>
    </row>
    <row r="271" spans="1:20" x14ac:dyDescent="0.35">
      <c r="A271">
        <v>279</v>
      </c>
      <c r="B271" t="s">
        <v>331</v>
      </c>
      <c r="C271">
        <v>10</v>
      </c>
      <c r="D271" t="s">
        <v>58</v>
      </c>
      <c r="E271" t="s">
        <v>24</v>
      </c>
      <c r="F271" t="s">
        <v>25</v>
      </c>
      <c r="G271" s="1">
        <v>250000</v>
      </c>
      <c r="M271" s="1">
        <v>250000</v>
      </c>
      <c r="S271" s="1">
        <v>500000</v>
      </c>
      <c r="T271" t="s">
        <v>84</v>
      </c>
    </row>
    <row r="272" spans="1:20" x14ac:dyDescent="0.35">
      <c r="A272">
        <v>280</v>
      </c>
      <c r="B272" t="s">
        <v>332</v>
      </c>
      <c r="C272">
        <v>5</v>
      </c>
      <c r="D272" t="s">
        <v>47</v>
      </c>
      <c r="E272" t="s">
        <v>33</v>
      </c>
      <c r="F272" t="s">
        <v>34</v>
      </c>
      <c r="H272" s="1">
        <v>250000</v>
      </c>
      <c r="S272" s="1">
        <v>250000</v>
      </c>
      <c r="T272" t="s">
        <v>84</v>
      </c>
    </row>
    <row r="273" spans="1:20" x14ac:dyDescent="0.35">
      <c r="A273">
        <v>281</v>
      </c>
      <c r="B273" t="s">
        <v>333</v>
      </c>
      <c r="C273">
        <v>4</v>
      </c>
      <c r="D273" t="s">
        <v>47</v>
      </c>
      <c r="E273" t="s">
        <v>82</v>
      </c>
      <c r="F273" t="s">
        <v>65</v>
      </c>
      <c r="N273" s="1">
        <v>1000000</v>
      </c>
      <c r="S273" s="1">
        <v>1000000</v>
      </c>
      <c r="T273" t="s">
        <v>26</v>
      </c>
    </row>
    <row r="274" spans="1:20" x14ac:dyDescent="0.35">
      <c r="A274">
        <v>283</v>
      </c>
      <c r="B274" t="s">
        <v>334</v>
      </c>
      <c r="C274">
        <v>6</v>
      </c>
      <c r="D274" t="s">
        <v>47</v>
      </c>
      <c r="E274" t="s">
        <v>37</v>
      </c>
      <c r="F274" t="s">
        <v>38</v>
      </c>
      <c r="I274" s="1">
        <v>180000</v>
      </c>
      <c r="S274" s="1">
        <v>180000</v>
      </c>
      <c r="T274" t="s">
        <v>84</v>
      </c>
    </row>
    <row r="275" spans="1:20" x14ac:dyDescent="0.35">
      <c r="A275">
        <v>284</v>
      </c>
      <c r="B275" t="s">
        <v>335</v>
      </c>
      <c r="C275">
        <v>3</v>
      </c>
      <c r="D275" t="s">
        <v>47</v>
      </c>
      <c r="E275" t="s">
        <v>44</v>
      </c>
      <c r="F275" t="s">
        <v>45</v>
      </c>
      <c r="G275" s="1">
        <v>175000</v>
      </c>
      <c r="S275" s="1">
        <v>175000</v>
      </c>
      <c r="T275" t="s">
        <v>50</v>
      </c>
    </row>
    <row r="276" spans="1:20" x14ac:dyDescent="0.35">
      <c r="A276">
        <v>285</v>
      </c>
      <c r="B276" t="s">
        <v>336</v>
      </c>
      <c r="C276">
        <v>5</v>
      </c>
      <c r="D276" t="s">
        <v>47</v>
      </c>
      <c r="E276" t="s">
        <v>38</v>
      </c>
      <c r="F276" t="s">
        <v>44</v>
      </c>
      <c r="H276" s="1">
        <v>480000</v>
      </c>
      <c r="S276" s="1">
        <v>480000</v>
      </c>
      <c r="T276" t="s">
        <v>84</v>
      </c>
    </row>
    <row r="277" spans="1:20" x14ac:dyDescent="0.35">
      <c r="A277">
        <v>286</v>
      </c>
      <c r="B277" t="s">
        <v>337</v>
      </c>
      <c r="C277">
        <v>2</v>
      </c>
      <c r="D277" t="s">
        <v>47</v>
      </c>
      <c r="E277" t="s">
        <v>44</v>
      </c>
      <c r="F277" t="s">
        <v>45</v>
      </c>
      <c r="G277" s="1">
        <v>96000</v>
      </c>
      <c r="S277" s="1">
        <v>96000</v>
      </c>
      <c r="T277" t="s">
        <v>50</v>
      </c>
    </row>
    <row r="278" spans="1:20" x14ac:dyDescent="0.35">
      <c r="A278">
        <v>287</v>
      </c>
      <c r="B278" t="s">
        <v>338</v>
      </c>
      <c r="C278">
        <v>79</v>
      </c>
      <c r="D278" t="s">
        <v>23</v>
      </c>
      <c r="E278" t="s">
        <v>54</v>
      </c>
      <c r="F278" t="s">
        <v>28</v>
      </c>
      <c r="H278" s="1">
        <v>1199400</v>
      </c>
      <c r="K278" s="1">
        <v>1199400</v>
      </c>
      <c r="N278" s="1">
        <v>1199400</v>
      </c>
      <c r="Q278" s="1">
        <v>1199400</v>
      </c>
      <c r="S278" s="1">
        <v>4797600</v>
      </c>
      <c r="T278" t="s">
        <v>39</v>
      </c>
    </row>
    <row r="279" spans="1:20" x14ac:dyDescent="0.35">
      <c r="A279">
        <v>288</v>
      </c>
      <c r="B279" t="s">
        <v>339</v>
      </c>
      <c r="C279">
        <v>148</v>
      </c>
      <c r="D279" t="s">
        <v>23</v>
      </c>
      <c r="E279" t="s">
        <v>54</v>
      </c>
      <c r="F279" t="s">
        <v>28</v>
      </c>
      <c r="H279" s="2">
        <v>888000</v>
      </c>
      <c r="K279" s="2">
        <v>888000</v>
      </c>
      <c r="N279" s="2">
        <v>888000</v>
      </c>
      <c r="Q279" s="2">
        <v>888000</v>
      </c>
      <c r="S279" s="1">
        <v>3552000</v>
      </c>
      <c r="T279" t="s">
        <v>39</v>
      </c>
    </row>
    <row r="280" spans="1:20" x14ac:dyDescent="0.35">
      <c r="A280">
        <v>289</v>
      </c>
      <c r="B280" t="s">
        <v>340</v>
      </c>
      <c r="C280">
        <v>271</v>
      </c>
      <c r="D280" t="s">
        <v>23</v>
      </c>
      <c r="E280" t="s">
        <v>54</v>
      </c>
      <c r="F280" t="s">
        <v>28</v>
      </c>
      <c r="H280" s="2">
        <v>3201000</v>
      </c>
      <c r="K280" s="2">
        <v>3201000</v>
      </c>
      <c r="N280" s="2">
        <v>3201000</v>
      </c>
      <c r="Q280" s="2">
        <v>3201000</v>
      </c>
      <c r="S280" s="1">
        <v>12804000</v>
      </c>
      <c r="T280" t="s">
        <v>39</v>
      </c>
    </row>
    <row r="283" spans="1:20" s="8" customFormat="1" x14ac:dyDescent="0.35">
      <c r="G283" s="7">
        <f>SUM(G2:G282)</f>
        <v>430969438.14999998</v>
      </c>
      <c r="H283" s="7">
        <f>SUM(H2:H282)</f>
        <v>151957492.87</v>
      </c>
      <c r="I283" s="7">
        <f>SUM(I2:I282)</f>
        <v>104603692.23999999</v>
      </c>
      <c r="J283" s="7">
        <f>SUM(J2:J282)</f>
        <v>333636117.73999995</v>
      </c>
      <c r="K283" s="7">
        <f>SUM(K2:K282)</f>
        <v>131818903.53</v>
      </c>
      <c r="L283" s="7">
        <f>SUM(L2:L282)</f>
        <v>137870223.35999998</v>
      </c>
      <c r="M283" s="7">
        <f>SUM(M2:M282)</f>
        <v>395855750.85999995</v>
      </c>
      <c r="N283" s="7">
        <f>SUM(N2:N282)</f>
        <v>155338917.14000002</v>
      </c>
      <c r="O283" s="7">
        <f>SUM(O2:O282)</f>
        <v>94860140.929999992</v>
      </c>
      <c r="P283" s="7">
        <f>SUM(P2:P282)</f>
        <v>318496369.13999999</v>
      </c>
      <c r="Q283" s="7">
        <f>SUM(Q2:Q282)</f>
        <v>169310516.84</v>
      </c>
      <c r="R283" s="7">
        <f>SUM(R2:R282)</f>
        <v>66687616.019999996</v>
      </c>
      <c r="S283" s="7">
        <f>SUM(S2:S282)</f>
        <v>2489961178.8600001</v>
      </c>
    </row>
    <row r="284" spans="1:20" x14ac:dyDescent="0.35">
      <c r="S284" t="s">
        <v>111</v>
      </c>
    </row>
    <row r="285" spans="1:20" x14ac:dyDescent="0.35">
      <c r="S285" t="s">
        <v>111</v>
      </c>
    </row>
    <row r="287" spans="1:20" x14ac:dyDescent="0.35">
      <c r="O287" s="1"/>
      <c r="S287" s="1"/>
    </row>
    <row r="303" spans="19:19" x14ac:dyDescent="0.35">
      <c r="S303" t="s">
        <v>111</v>
      </c>
    </row>
    <row r="304" spans="19:19" x14ac:dyDescent="0.35">
      <c r="S304" t="s">
        <v>111</v>
      </c>
    </row>
    <row r="305" spans="7:19" x14ac:dyDescent="0.35">
      <c r="S305" t="s">
        <v>111</v>
      </c>
    </row>
    <row r="306" spans="7:19" x14ac:dyDescent="0.35">
      <c r="S306" t="s">
        <v>111</v>
      </c>
    </row>
    <row r="307" spans="7:19" x14ac:dyDescent="0.35">
      <c r="S307" t="s">
        <v>111</v>
      </c>
    </row>
    <row r="308" spans="7:19" x14ac:dyDescent="0.35">
      <c r="S308" t="s">
        <v>111</v>
      </c>
    </row>
    <row r="309" spans="7:19" x14ac:dyDescent="0.35">
      <c r="S309" t="s">
        <v>111</v>
      </c>
    </row>
    <row r="310" spans="7:19" x14ac:dyDescent="0.35">
      <c r="S310" t="s">
        <v>111</v>
      </c>
    </row>
    <row r="311" spans="7:19" x14ac:dyDescent="0.35">
      <c r="S311" t="s">
        <v>111</v>
      </c>
    </row>
    <row r="312" spans="7:19" x14ac:dyDescent="0.35">
      <c r="S312" t="s">
        <v>111</v>
      </c>
    </row>
    <row r="313" spans="7:19" x14ac:dyDescent="0.35">
      <c r="S313" t="s">
        <v>111</v>
      </c>
    </row>
    <row r="314" spans="7:19" x14ac:dyDescent="0.35">
      <c r="S314" t="s">
        <v>111</v>
      </c>
    </row>
    <row r="315" spans="7:19" x14ac:dyDescent="0.35">
      <c r="S315" t="s">
        <v>111</v>
      </c>
    </row>
    <row r="316" spans="7:19" x14ac:dyDescent="0.35">
      <c r="S316" t="s">
        <v>111</v>
      </c>
    </row>
    <row r="317" spans="7:19" x14ac:dyDescent="0.35">
      <c r="S317" t="s">
        <v>111</v>
      </c>
    </row>
    <row r="318" spans="7:19" x14ac:dyDescent="0.35">
      <c r="G318" s="1">
        <v>35000</v>
      </c>
      <c r="L318" s="1">
        <v>15000</v>
      </c>
      <c r="N318" s="1">
        <v>8000</v>
      </c>
      <c r="S318" s="1">
        <v>58000</v>
      </c>
    </row>
    <row r="319" spans="7:19" x14ac:dyDescent="0.35">
      <c r="S319" s="1">
        <v>2470551712.1900001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Adekunle Odegbami</dc:creator>
  <cp:lastModifiedBy>Adekunle Odegbami</cp:lastModifiedBy>
  <dcterms:created xsi:type="dcterms:W3CDTF">2024-12-06T07:39:06Z</dcterms:created>
  <dcterms:modified xsi:type="dcterms:W3CDTF">2024-12-06T09:43:05Z</dcterms:modified>
</cp:coreProperties>
</file>